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ANTAMIENTO DE INFORMACIÓN PA" sheetId="1" r:id="rId4"/>
  </sheets>
  <definedNames/>
  <calcPr/>
  <extLst>
    <ext uri="GoogleSheetsCustomDataVersion2">
      <go:sheetsCustomData xmlns:go="http://customooxmlschemas.google.com/" r:id="rId5" roundtripDataChecksum="Cxw/i3ii/04omXdfiq1269T4KfrzU3utEURBFJyKdUg="/>
    </ext>
  </extLst>
</workbook>
</file>

<file path=xl/sharedStrings.xml><?xml version="1.0" encoding="utf-8"?>
<sst xmlns="http://schemas.openxmlformats.org/spreadsheetml/2006/main" count="267" uniqueCount="154">
  <si>
    <t>NOMBRE DEL CONTRATO</t>
  </si>
  <si>
    <t>TIPO DE SERVICO</t>
  </si>
  <si>
    <t>PERMANENTE</t>
  </si>
  <si>
    <t>ESPECIAL</t>
  </si>
  <si>
    <t>SUPERFICIE O M2</t>
  </si>
  <si>
    <t>TIPO DE SUELO</t>
  </si>
  <si>
    <t>CANTIDAD DE PUESTOS DE TRABAJO</t>
  </si>
  <si>
    <t>CANTIDAD DE BASUREROS</t>
  </si>
  <si>
    <t>AREA DE CAFETERIA</t>
  </si>
  <si>
    <t>MATERIAL DE ESCRITORIOS O MESAS DE REUNIÓN</t>
  </si>
  <si>
    <t>TIPO DE POLIZAS O GARANTIAS</t>
  </si>
  <si>
    <t>FORMA DE PAGO</t>
  </si>
  <si>
    <t>FINANCIAMIENTO</t>
  </si>
  <si>
    <t>REQUERIMIENTOS ADICIONALES</t>
  </si>
  <si>
    <t>INCLUIR FERIADOS</t>
  </si>
  <si>
    <t>TIPO DE EPP</t>
  </si>
  <si>
    <t>CERTIFICADOS DE COMPETENCIA</t>
  </si>
  <si>
    <t>PERSONAL</t>
  </si>
  <si>
    <t>HORARIOS</t>
  </si>
  <si>
    <t>LUNES A VIERNES</t>
  </si>
  <si>
    <t xml:space="preserve">TOTAL </t>
  </si>
  <si>
    <t>NUMERO DE OPERARIOS</t>
  </si>
  <si>
    <t>HORAS</t>
  </si>
  <si>
    <t>INSUMOS</t>
  </si>
  <si>
    <t>PRESENTACIÓN</t>
  </si>
  <si>
    <t>CANTIDAD</t>
  </si>
  <si>
    <t>ACEITE PARA MUEBLES SPRAY</t>
  </si>
  <si>
    <t xml:space="preserve">SPRAY </t>
  </si>
  <si>
    <t xml:space="preserve">ALCOHOL INDUSTRIAL </t>
  </si>
  <si>
    <t>LITRO</t>
  </si>
  <si>
    <t>AMBIENTAL</t>
  </si>
  <si>
    <t>AMBIENTAL SPRAY 360 mg</t>
  </si>
  <si>
    <t>UNIDAD</t>
  </si>
  <si>
    <t>AMBIENTAL PASTILLAS 95 grs.</t>
  </si>
  <si>
    <t>ARAGAN  DOMESTICO</t>
  </si>
  <si>
    <t xml:space="preserve">ATOMIZADORES </t>
  </si>
  <si>
    <t>BALDES DE 10 litros</t>
  </si>
  <si>
    <t>CEPILLO LAVA ROPA  DE MANO</t>
  </si>
  <si>
    <t>CEPILLO PARA SANITARIOS O MANO DE OSO</t>
  </si>
  <si>
    <t>CERA LÍQUIDA O ANTIDESLISANTE</t>
  </si>
  <si>
    <t>CHUPAS</t>
  </si>
  <si>
    <t>CLORO  LÍQUIDO</t>
  </si>
  <si>
    <t>DETERGENTE INDUSTRIAL EN POLVO 500 gm</t>
  </si>
  <si>
    <t>LIBRA</t>
  </si>
  <si>
    <t>ESCOBA DURA</t>
  </si>
  <si>
    <t>ESCOBA SUAVE</t>
  </si>
  <si>
    <t xml:space="preserve">ESPATULA </t>
  </si>
  <si>
    <t xml:space="preserve">FRANELA MICROFIBRA </t>
  </si>
  <si>
    <t>FUNDA NEGRA 18*24</t>
  </si>
  <si>
    <t xml:space="preserve">FUNDA NEGRA 23*28  </t>
  </si>
  <si>
    <t xml:space="preserve">FUNDA NEGRA 30*37   </t>
  </si>
  <si>
    <t xml:space="preserve">FUNDA NEGRA 35*47   </t>
  </si>
  <si>
    <t xml:space="preserve">FUNDA ROJA 18 *24        </t>
  </si>
  <si>
    <t xml:space="preserve">FUNDA ROJA 23*28       </t>
  </si>
  <si>
    <t xml:space="preserve">FUNDA ROJA 30*36         </t>
  </si>
  <si>
    <t>FUNDA ROJA 34*47</t>
  </si>
  <si>
    <t>FRANELA PARA MOPA</t>
  </si>
  <si>
    <t>GUANTES DE CAUCHO MASTER BICOLOR VARIAS TALLAS</t>
  </si>
  <si>
    <t>PAR</t>
  </si>
  <si>
    <t>MASCARILLA</t>
  </si>
  <si>
    <t>INSECTICIDA  1000 c.c.</t>
  </si>
  <si>
    <t>FRASCO</t>
  </si>
  <si>
    <t>LAVA MEDIANO 250 GR.</t>
  </si>
  <si>
    <t>RECIPIENTE</t>
  </si>
  <si>
    <t>LIJAS DE AGUA</t>
  </si>
  <si>
    <t>LÍQUIDO LIMPIA VIDRIOS</t>
  </si>
  <si>
    <t>MECHA PARA TRAPERO 300 gm</t>
  </si>
  <si>
    <t xml:space="preserve">MOPA MEDIANA </t>
  </si>
  <si>
    <t>PAD 17" CUALQUIER COLOR</t>
  </si>
  <si>
    <t>PAD 20" CUALQUIER COLOR</t>
  </si>
  <si>
    <t>RECOGEDOR CON PALO</t>
  </si>
  <si>
    <t>SAQUILLO</t>
  </si>
  <si>
    <t>TRAPEADOR DE ALGODÓN 300 GM</t>
  </si>
  <si>
    <t>PIOLA</t>
  </si>
  <si>
    <t>ROLLO</t>
  </si>
  <si>
    <t>ACEITE DE 2 TIEMPOS</t>
  </si>
  <si>
    <t>LITROS</t>
  </si>
  <si>
    <t>VILEDA</t>
  </si>
  <si>
    <t xml:space="preserve">GASOLINA </t>
  </si>
  <si>
    <t>GALON</t>
  </si>
  <si>
    <t>MONTAJE</t>
  </si>
  <si>
    <t>ATOMIZADORES PLASTICOS</t>
  </si>
  <si>
    <t>CEPILLO DE MANO</t>
  </si>
  <si>
    <t>ESPATULA DE 2"</t>
  </si>
  <si>
    <t>MECHA PARA TRAPERO 300 GM</t>
  </si>
  <si>
    <t>TRAPEADOR DE ALGODÓN 60 CM. O DE PABILO</t>
  </si>
  <si>
    <t>EXAMENES OCUPACIONEALES</t>
  </si>
  <si>
    <t>ELEMENTOS PROTECCIÒN Y UNIFORMES</t>
  </si>
  <si>
    <t>MAQUINARIA</t>
  </si>
  <si>
    <t>AVISO PREVENCIÓN / LETRERO DE SEÑALIZACION</t>
  </si>
  <si>
    <t>ARAGAN TELESCOPICO 250 cm.</t>
  </si>
  <si>
    <t>ASPIRADORA DOMESTICA</t>
  </si>
  <si>
    <t>ASPIRADORA SEMI INDUSTRIAL</t>
  </si>
  <si>
    <t>ASPIRADORA INDUSTRIAL</t>
  </si>
  <si>
    <t>ANADAMIOS</t>
  </si>
  <si>
    <t>SECCION</t>
  </si>
  <si>
    <t>CASCO</t>
  </si>
  <si>
    <t>KIT DE HERRAMIENTAS</t>
  </si>
  <si>
    <t>ARNES CON LINEA DE VIDA</t>
  </si>
  <si>
    <t>GUARTES NITRILO</t>
  </si>
  <si>
    <t>GAFAS</t>
  </si>
  <si>
    <t>BOTAS PUNTERAS DE ACERO</t>
  </si>
  <si>
    <t>KIT DE JARDINERIA</t>
  </si>
  <si>
    <t>CORTADORA DE CEPED</t>
  </si>
  <si>
    <t xml:space="preserve">MOTOGUADAÑA </t>
  </si>
  <si>
    <t>COPAS AUDITIVAS</t>
  </si>
  <si>
    <t>TAPONES AUDITIVOS</t>
  </si>
  <si>
    <t>GUANTES DE JARDINERIA</t>
  </si>
  <si>
    <t>GUANTES CARNAZA</t>
  </si>
  <si>
    <t>BOMBA NEBULIZADORA MICRODIFUSOR</t>
  </si>
  <si>
    <t>BONBA FUMIGADORA</t>
  </si>
  <si>
    <t>CABO ALUMINIO TRAPERO</t>
  </si>
  <si>
    <t>SUJETADOR MECHA</t>
  </si>
  <si>
    <t>CARRO HOSPITALARIO</t>
  </si>
  <si>
    <t>DELANTAL IMPERMEABLE PVC</t>
  </si>
  <si>
    <t>CARRO DESCOLILLADOR</t>
  </si>
  <si>
    <t>CEPILLO MAQUINA 17"</t>
  </si>
  <si>
    <t>CEPILLO MAQUINA 20"</t>
  </si>
  <si>
    <t>COCHE ESCURRIDOR  SIN DIV 20 ltros</t>
  </si>
  <si>
    <t xml:space="preserve">CUCHILLA PARA VIDRIOS  GRANDE INDUSTRIAL </t>
  </si>
  <si>
    <t xml:space="preserve">ESCALERA DE 3 PASOS </t>
  </si>
  <si>
    <t xml:space="preserve">ESCALERA DE 5 PASOS </t>
  </si>
  <si>
    <t>ESCALERA DE 7 PASOS</t>
  </si>
  <si>
    <t>ESCALERA DE 9 PASOS</t>
  </si>
  <si>
    <t>ESCALERA DE EXTENCION 6,38 MTS</t>
  </si>
  <si>
    <t>EXTENCIÓN ELECTRICA DE 50 MTRS</t>
  </si>
  <si>
    <t>EXTENCIÓN ELECTRICA 25 MTRS</t>
  </si>
  <si>
    <t>HIDROLAVADORA</t>
  </si>
  <si>
    <t>LAVA TAPETES - ALFOMBRAS</t>
  </si>
  <si>
    <t>LAVABRILLADORA DOMESTICA</t>
  </si>
  <si>
    <t>LAVABRILLADORA 17</t>
  </si>
  <si>
    <t>LAVABRILLADORA DE 20</t>
  </si>
  <si>
    <t>BOTAS DE CAUCHO</t>
  </si>
  <si>
    <t>TRAJE DE FUMIGACIÓN</t>
  </si>
  <si>
    <t>BATA ANTIFLUIDOS</t>
  </si>
  <si>
    <t>MASCARILLA DESEWCHABLE</t>
  </si>
  <si>
    <t>PALA METALICA  PARA BASURA</t>
  </si>
  <si>
    <t>PORTA PAD 17"</t>
  </si>
  <si>
    <t>PORTA PAD 20"</t>
  </si>
  <si>
    <t>SERVICIOS ESPECIALES</t>
  </si>
  <si>
    <t>Numero de veces</t>
  </si>
  <si>
    <t xml:space="preserve">CANTIDAD en </t>
  </si>
  <si>
    <t>al año</t>
  </si>
  <si>
    <t>M2  o unidades</t>
  </si>
  <si>
    <t>LAVADO DE ALFOMBRAS</t>
  </si>
  <si>
    <t>LIMPIEZA DE PANELES</t>
  </si>
  <si>
    <t>LAVADO DE SILLAS</t>
  </si>
  <si>
    <t>CISTERNA AGUAS BLANCAS</t>
  </si>
  <si>
    <t>CISTERNA AGUAS NEGRAS</t>
  </si>
  <si>
    <t>FUMIGACIÒN</t>
  </si>
  <si>
    <t>DESRRATIZACIÒN</t>
  </si>
  <si>
    <t>JARDINERIA</t>
  </si>
  <si>
    <t>LIMPIEZA DE VIDRIOS</t>
  </si>
  <si>
    <t>SANITIZACION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</si>
</sst>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3">
    <font>
      <sz val="10.0"/>
      <color rgb="FF000000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/>
    <font>
      <b/>
      <sz val="10.0"/>
      <color rgb="FFFF0000"/>
      <name val="Arial"/>
    </font>
    <font>
      <sz val="10.0"/>
      <color rgb="FFFF0000"/>
      <name val="Arial"/>
    </font>
    <font>
      <b/>
      <sz val="12.0"/>
      <color theme="1"/>
      <name val="Arial"/>
    </font>
    <font>
      <sz val="8.0"/>
      <color theme="1"/>
      <name val="Arial"/>
    </font>
    <font>
      <sz val="8.0"/>
      <color rgb="FF17365D"/>
      <name val="Arial"/>
    </font>
    <font>
      <b/>
      <sz val="8.0"/>
      <color theme="1"/>
      <name val="Arial"/>
    </font>
    <font>
      <b/>
      <sz val="10.0"/>
      <color rgb="FF0000D4"/>
      <name val="Arial"/>
    </font>
    <font>
      <b/>
      <sz val="10.0"/>
      <color rgb="FF006411"/>
      <name val="Arial"/>
    </font>
    <font>
      <b/>
      <sz val="10.0"/>
      <color rgb="FF9933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CCFFCC"/>
        <bgColor rgb="FFCCFFCC"/>
      </patternFill>
    </fill>
    <fill>
      <patternFill patternType="solid">
        <fgColor rgb="FFD6E3BC"/>
        <bgColor rgb="FFD6E3B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2" fontId="4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5" fillId="0" fontId="3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vertical="center"/>
    </xf>
    <xf borderId="4" fillId="0" fontId="6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1" fillId="0" fontId="7" numFmtId="2" xfId="0" applyAlignment="1" applyBorder="1" applyFont="1" applyNumberFormat="1">
      <alignment horizontal="center" vertical="center"/>
    </xf>
    <xf borderId="0" fillId="0" fontId="8" numFmtId="2" xfId="0" applyAlignment="1" applyFont="1" applyNumberFormat="1">
      <alignment horizontal="center" vertical="center"/>
    </xf>
    <xf borderId="0" fillId="0" fontId="1" numFmtId="2" xfId="0" applyAlignment="1" applyFont="1" applyNumberFormat="1">
      <alignment vertical="center"/>
    </xf>
    <xf borderId="0" fillId="0" fontId="7" numFmtId="2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" fillId="4" fontId="7" numFmtId="0" xfId="0" applyAlignment="1" applyBorder="1" applyFill="1" applyFont="1">
      <alignment vertical="center"/>
    </xf>
    <xf borderId="1" fillId="4" fontId="7" numFmtId="0" xfId="0" applyAlignment="1" applyBorder="1" applyFont="1">
      <alignment horizontal="center" vertical="center"/>
    </xf>
    <xf borderId="1" fillId="4" fontId="7" numFmtId="2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43"/>
    <col customWidth="1" min="2" max="2" width="27.0"/>
    <col customWidth="1" min="3" max="3" width="25.86"/>
    <col customWidth="1" min="4" max="4" width="9.0"/>
    <col customWidth="1" min="5" max="5" width="16.14"/>
    <col customWidth="1" min="6" max="85" width="11.4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ht="12.75" customHeight="1">
      <c r="A3" s="2" t="s">
        <v>0</v>
      </c>
      <c r="B3" s="3" t="s">
        <v>1</v>
      </c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ht="12.75" customHeight="1">
      <c r="A4" s="5"/>
      <c r="B4" s="6" t="s">
        <v>2</v>
      </c>
      <c r="C4" s="7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ht="12.75" customHeight="1">
      <c r="A5" s="8"/>
      <c r="B5" s="9"/>
      <c r="C5" s="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ht="17.25" customHeight="1">
      <c r="A7" s="10" t="s">
        <v>4</v>
      </c>
      <c r="B7" s="11"/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ht="17.25" customHeight="1">
      <c r="A8" s="10" t="s">
        <v>5</v>
      </c>
      <c r="B8" s="11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ht="17.25" customHeight="1">
      <c r="A9" s="10" t="s">
        <v>6</v>
      </c>
      <c r="B9" s="11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ht="17.25" customHeight="1">
      <c r="A10" s="10" t="s">
        <v>7</v>
      </c>
      <c r="B10" s="11"/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ht="17.25" customHeight="1">
      <c r="A11" s="10" t="s">
        <v>8</v>
      </c>
      <c r="B11" s="11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ht="17.25" customHeight="1">
      <c r="A12" s="10" t="s">
        <v>9</v>
      </c>
      <c r="B12" s="11"/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ht="17.25" customHeight="1">
      <c r="A13" s="10" t="s">
        <v>10</v>
      </c>
      <c r="B13" s="11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ht="17.25" customHeight="1">
      <c r="A14" s="10" t="s">
        <v>11</v>
      </c>
      <c r="B14" s="11"/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ht="17.25" customHeight="1">
      <c r="A15" s="10" t="s">
        <v>12</v>
      </c>
      <c r="B15" s="11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ht="17.25" customHeight="1">
      <c r="A16" s="10" t="s">
        <v>13</v>
      </c>
      <c r="B16" s="11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ht="12.75" customHeight="1">
      <c r="A17" s="10" t="s">
        <v>14</v>
      </c>
      <c r="B17" s="11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ht="12.75" customHeight="1">
      <c r="A18" s="10" t="s">
        <v>15</v>
      </c>
      <c r="B18" s="11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ht="12.75" customHeight="1">
      <c r="A19" s="10" t="s">
        <v>16</v>
      </c>
      <c r="B19" s="1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ht="12.75" customHeight="1">
      <c r="A21" s="12" t="s">
        <v>17</v>
      </c>
      <c r="B21" s="13" t="s">
        <v>18</v>
      </c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ht="12.75" customHeight="1">
      <c r="A22" s="8"/>
      <c r="B22" s="14" t="s">
        <v>19</v>
      </c>
      <c r="C22" s="15" t="s">
        <v>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ht="12.75" customHeight="1">
      <c r="A23" s="2" t="s">
        <v>21</v>
      </c>
      <c r="B23" s="8"/>
      <c r="C23" s="15" t="s">
        <v>22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ht="12.75" customHeight="1">
      <c r="A24" s="15"/>
      <c r="B24" s="9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ht="12.75" customHeight="1">
      <c r="A25" s="15"/>
      <c r="B25" s="16"/>
      <c r="C25" s="1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ht="12.75" customHeight="1">
      <c r="A26" s="15"/>
      <c r="B26" s="16"/>
      <c r="C26" s="1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ht="12.75" customHeight="1">
      <c r="A27" s="15"/>
      <c r="B27" s="16"/>
      <c r="C27" s="1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ht="12.75" customHeight="1">
      <c r="A28" s="15"/>
      <c r="B28" s="16"/>
      <c r="C28" s="1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ht="12.75" customHeight="1">
      <c r="A29" s="15"/>
      <c r="B29" s="16"/>
      <c r="C29" s="1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ht="12.75" customHeight="1">
      <c r="A30" s="15"/>
      <c r="B30" s="16"/>
      <c r="C30" s="1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ht="12.75" customHeight="1">
      <c r="A32" s="17" t="s">
        <v>23</v>
      </c>
      <c r="B32" s="17" t="s">
        <v>24</v>
      </c>
      <c r="C32" s="17" t="s">
        <v>25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</row>
    <row r="33" ht="12.75" customHeight="1">
      <c r="A33" s="19" t="s">
        <v>26</v>
      </c>
      <c r="B33" s="20" t="s">
        <v>27</v>
      </c>
      <c r="C33" s="2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22">
        <v>2.93</v>
      </c>
      <c r="CF33" s="23">
        <f t="shared" ref="CF33:CF53" si="1">CE33*5%</f>
        <v>0.1465</v>
      </c>
      <c r="CG33" s="23">
        <f t="shared" ref="CG33:CG53" si="2">CE33+CF33</f>
        <v>3.0765</v>
      </c>
    </row>
    <row r="34" ht="12.75" customHeight="1">
      <c r="A34" s="19" t="s">
        <v>28</v>
      </c>
      <c r="B34" s="20" t="s">
        <v>29</v>
      </c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22">
        <v>1.24</v>
      </c>
      <c r="CF34" s="23">
        <f t="shared" si="1"/>
        <v>0.062</v>
      </c>
      <c r="CG34" s="23">
        <f t="shared" si="2"/>
        <v>1.302</v>
      </c>
    </row>
    <row r="35" ht="12.75" customHeight="1">
      <c r="A35" s="19" t="s">
        <v>30</v>
      </c>
      <c r="B35" s="20" t="s">
        <v>29</v>
      </c>
      <c r="C35" s="2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22">
        <v>1.66</v>
      </c>
      <c r="CF35" s="23">
        <f t="shared" si="1"/>
        <v>0.083</v>
      </c>
      <c r="CG35" s="23">
        <f t="shared" si="2"/>
        <v>1.743</v>
      </c>
    </row>
    <row r="36" ht="12.75" customHeight="1">
      <c r="A36" s="19" t="s">
        <v>31</v>
      </c>
      <c r="B36" s="20" t="s">
        <v>32</v>
      </c>
      <c r="C36" s="2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22">
        <v>1.82</v>
      </c>
      <c r="CF36" s="23">
        <f t="shared" si="1"/>
        <v>0.091</v>
      </c>
      <c r="CG36" s="23">
        <f t="shared" si="2"/>
        <v>1.911</v>
      </c>
    </row>
    <row r="37" ht="12.75" customHeight="1">
      <c r="A37" s="19" t="s">
        <v>33</v>
      </c>
      <c r="B37" s="20" t="s">
        <v>32</v>
      </c>
      <c r="C37" s="2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22">
        <v>2.8</v>
      </c>
      <c r="CF37" s="23">
        <f t="shared" si="1"/>
        <v>0.14</v>
      </c>
      <c r="CG37" s="23">
        <f t="shared" si="2"/>
        <v>2.94</v>
      </c>
    </row>
    <row r="38" ht="12.75" customHeight="1">
      <c r="A38" s="19" t="s">
        <v>34</v>
      </c>
      <c r="B38" s="20" t="s">
        <v>32</v>
      </c>
      <c r="C38" s="2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22">
        <v>1.05</v>
      </c>
      <c r="CF38" s="23">
        <f t="shared" si="1"/>
        <v>0.0525</v>
      </c>
      <c r="CG38" s="23">
        <f t="shared" si="2"/>
        <v>1.1025</v>
      </c>
    </row>
    <row r="39" ht="12.75" customHeight="1">
      <c r="A39" s="19" t="s">
        <v>35</v>
      </c>
      <c r="B39" s="20" t="s">
        <v>32</v>
      </c>
      <c r="C39" s="2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22">
        <v>8.64</v>
      </c>
      <c r="CF39" s="23">
        <f t="shared" si="1"/>
        <v>0.432</v>
      </c>
      <c r="CG39" s="23">
        <f t="shared" si="2"/>
        <v>9.072</v>
      </c>
    </row>
    <row r="40" ht="12.75" customHeight="1">
      <c r="A40" s="19" t="s">
        <v>36</v>
      </c>
      <c r="B40" s="20" t="s">
        <v>32</v>
      </c>
      <c r="C40" s="2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22">
        <v>1.3</v>
      </c>
      <c r="CF40" s="23">
        <f t="shared" si="1"/>
        <v>0.065</v>
      </c>
      <c r="CG40" s="23">
        <f t="shared" si="2"/>
        <v>1.365</v>
      </c>
    </row>
    <row r="41" ht="12.75" customHeight="1">
      <c r="A41" s="19" t="s">
        <v>37</v>
      </c>
      <c r="B41" s="20" t="s">
        <v>32</v>
      </c>
      <c r="C41" s="2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22">
        <v>0.85</v>
      </c>
      <c r="CF41" s="23">
        <f t="shared" si="1"/>
        <v>0.0425</v>
      </c>
      <c r="CG41" s="23">
        <f t="shared" si="2"/>
        <v>0.8925</v>
      </c>
    </row>
    <row r="42" ht="12.75" customHeight="1">
      <c r="A42" s="19" t="s">
        <v>38</v>
      </c>
      <c r="B42" s="20" t="s">
        <v>32</v>
      </c>
      <c r="C42" s="2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22">
        <v>2.35</v>
      </c>
      <c r="CF42" s="23">
        <f t="shared" si="1"/>
        <v>0.1175</v>
      </c>
      <c r="CG42" s="23">
        <f t="shared" si="2"/>
        <v>2.4675</v>
      </c>
    </row>
    <row r="43" ht="12.75" customHeight="1">
      <c r="A43" s="19" t="s">
        <v>39</v>
      </c>
      <c r="B43" s="20" t="s">
        <v>29</v>
      </c>
      <c r="C43" s="2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22">
        <v>1.83</v>
      </c>
      <c r="CF43" s="23">
        <f t="shared" si="1"/>
        <v>0.0915</v>
      </c>
      <c r="CG43" s="23">
        <f t="shared" si="2"/>
        <v>1.9215</v>
      </c>
    </row>
    <row r="44" ht="12.75" customHeight="1">
      <c r="A44" s="19" t="s">
        <v>40</v>
      </c>
      <c r="B44" s="20" t="s">
        <v>32</v>
      </c>
      <c r="C44" s="2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22">
        <v>7.5</v>
      </c>
      <c r="CF44" s="23">
        <f t="shared" si="1"/>
        <v>0.375</v>
      </c>
      <c r="CG44" s="23">
        <f t="shared" si="2"/>
        <v>7.875</v>
      </c>
    </row>
    <row r="45" ht="12.75" customHeight="1">
      <c r="A45" s="19" t="s">
        <v>41</v>
      </c>
      <c r="B45" s="20" t="s">
        <v>29</v>
      </c>
      <c r="C45" s="2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22">
        <v>0.9</v>
      </c>
      <c r="CF45" s="23">
        <f t="shared" si="1"/>
        <v>0.045</v>
      </c>
      <c r="CG45" s="23">
        <f t="shared" si="2"/>
        <v>0.945</v>
      </c>
    </row>
    <row r="46" ht="12.75" customHeight="1">
      <c r="A46" s="19" t="s">
        <v>42</v>
      </c>
      <c r="B46" s="20" t="s">
        <v>43</v>
      </c>
      <c r="C46" s="2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22">
        <v>0.95</v>
      </c>
      <c r="CF46" s="23">
        <f t="shared" si="1"/>
        <v>0.0475</v>
      </c>
      <c r="CG46" s="23">
        <f t="shared" si="2"/>
        <v>0.9975</v>
      </c>
    </row>
    <row r="47" ht="12.75" customHeight="1">
      <c r="A47" s="19" t="s">
        <v>44</v>
      </c>
      <c r="B47" s="20" t="s">
        <v>32</v>
      </c>
      <c r="C47" s="2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22">
        <v>1.22</v>
      </c>
      <c r="CF47" s="23">
        <f t="shared" si="1"/>
        <v>0.061</v>
      </c>
      <c r="CG47" s="23">
        <f t="shared" si="2"/>
        <v>1.281</v>
      </c>
    </row>
    <row r="48" ht="12.75" customHeight="1">
      <c r="A48" s="19" t="s">
        <v>45</v>
      </c>
      <c r="B48" s="20" t="s">
        <v>32</v>
      </c>
      <c r="C48" s="2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22">
        <v>1.76</v>
      </c>
      <c r="CF48" s="23">
        <f t="shared" si="1"/>
        <v>0.088</v>
      </c>
      <c r="CG48" s="23">
        <f t="shared" si="2"/>
        <v>1.848</v>
      </c>
    </row>
    <row r="49" ht="12.75" customHeight="1">
      <c r="A49" s="19" t="s">
        <v>46</v>
      </c>
      <c r="B49" s="20" t="s">
        <v>32</v>
      </c>
      <c r="C49" s="2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22">
        <v>2.6</v>
      </c>
      <c r="CF49" s="23">
        <f t="shared" si="1"/>
        <v>0.13</v>
      </c>
      <c r="CG49" s="23">
        <f t="shared" si="2"/>
        <v>2.73</v>
      </c>
    </row>
    <row r="50" ht="12.75" customHeight="1">
      <c r="A50" s="19" t="s">
        <v>47</v>
      </c>
      <c r="B50" s="20" t="s">
        <v>32</v>
      </c>
      <c r="C50" s="2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22">
        <v>1.43</v>
      </c>
      <c r="CF50" s="23">
        <f t="shared" si="1"/>
        <v>0.0715</v>
      </c>
      <c r="CG50" s="23">
        <f t="shared" si="2"/>
        <v>1.5015</v>
      </c>
    </row>
    <row r="51" ht="12.75" customHeight="1">
      <c r="A51" s="19" t="s">
        <v>48</v>
      </c>
      <c r="B51" s="20" t="s">
        <v>32</v>
      </c>
      <c r="C51" s="2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22">
        <v>0.61</v>
      </c>
      <c r="CF51" s="23">
        <f t="shared" si="1"/>
        <v>0.0305</v>
      </c>
      <c r="CG51" s="23">
        <f t="shared" si="2"/>
        <v>0.6405</v>
      </c>
    </row>
    <row r="52" ht="12.75" customHeight="1">
      <c r="A52" s="19" t="s">
        <v>49</v>
      </c>
      <c r="B52" s="20" t="s">
        <v>32</v>
      </c>
      <c r="C52" s="2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22">
        <v>2.51</v>
      </c>
      <c r="CF52" s="23">
        <f t="shared" si="1"/>
        <v>0.1255</v>
      </c>
      <c r="CG52" s="23">
        <f t="shared" si="2"/>
        <v>2.6355</v>
      </c>
    </row>
    <row r="53" ht="12.75" customHeight="1">
      <c r="A53" s="19" t="s">
        <v>50</v>
      </c>
      <c r="B53" s="20" t="s">
        <v>32</v>
      </c>
      <c r="C53" s="2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22">
        <v>1.44</v>
      </c>
      <c r="CF53" s="23">
        <f t="shared" si="1"/>
        <v>0.072</v>
      </c>
      <c r="CG53" s="23">
        <f t="shared" si="2"/>
        <v>1.512</v>
      </c>
    </row>
    <row r="54" ht="12.75" customHeight="1">
      <c r="A54" s="19" t="s">
        <v>51</v>
      </c>
      <c r="B54" s="20" t="s">
        <v>32</v>
      </c>
      <c r="C54" s="2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24"/>
      <c r="CF54" s="23"/>
      <c r="CG54" s="23"/>
    </row>
    <row r="55" ht="12.75" customHeight="1">
      <c r="A55" s="19" t="s">
        <v>52</v>
      </c>
      <c r="B55" s="20" t="s">
        <v>32</v>
      </c>
      <c r="C55" s="2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24">
        <v>1.57</v>
      </c>
      <c r="CF55" s="23">
        <f t="shared" ref="CF55:CF60" si="3">CE55*5%</f>
        <v>0.0785</v>
      </c>
      <c r="CG55" s="23">
        <f t="shared" ref="CG55:CG60" si="4">CE55+CF55</f>
        <v>1.6485</v>
      </c>
    </row>
    <row r="56" ht="12.75" customHeight="1">
      <c r="A56" s="19" t="s">
        <v>53</v>
      </c>
      <c r="B56" s="20" t="s">
        <v>32</v>
      </c>
      <c r="C56" s="2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22">
        <v>1.08</v>
      </c>
      <c r="CF56" s="23">
        <f t="shared" si="3"/>
        <v>0.054</v>
      </c>
      <c r="CG56" s="23">
        <f t="shared" si="4"/>
        <v>1.134</v>
      </c>
    </row>
    <row r="57" ht="12.75" customHeight="1">
      <c r="A57" s="19" t="s">
        <v>54</v>
      </c>
      <c r="B57" s="20" t="s">
        <v>32</v>
      </c>
      <c r="C57" s="2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22">
        <v>1.95</v>
      </c>
      <c r="CF57" s="23">
        <f t="shared" si="3"/>
        <v>0.0975</v>
      </c>
      <c r="CG57" s="23">
        <f t="shared" si="4"/>
        <v>2.0475</v>
      </c>
    </row>
    <row r="58" ht="12.75" customHeight="1">
      <c r="A58" s="19" t="s">
        <v>55</v>
      </c>
      <c r="B58" s="20" t="s">
        <v>32</v>
      </c>
      <c r="C58" s="2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22">
        <v>1.95</v>
      </c>
      <c r="CF58" s="23">
        <f t="shared" si="3"/>
        <v>0.0975</v>
      </c>
      <c r="CG58" s="23">
        <f t="shared" si="4"/>
        <v>2.0475</v>
      </c>
    </row>
    <row r="59" ht="12.75" customHeight="1">
      <c r="A59" s="19" t="s">
        <v>56</v>
      </c>
      <c r="B59" s="20" t="s">
        <v>32</v>
      </c>
      <c r="C59" s="2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25">
        <v>0.5</v>
      </c>
      <c r="CF59" s="23">
        <f t="shared" si="3"/>
        <v>0.025</v>
      </c>
      <c r="CG59" s="23">
        <f t="shared" si="4"/>
        <v>0.525</v>
      </c>
    </row>
    <row r="60" ht="12.75" customHeight="1">
      <c r="A60" s="19" t="s">
        <v>57</v>
      </c>
      <c r="B60" s="20" t="s">
        <v>58</v>
      </c>
      <c r="C60" s="2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25">
        <v>0.062</v>
      </c>
      <c r="CF60" s="23">
        <f t="shared" si="3"/>
        <v>0.0031</v>
      </c>
      <c r="CG60" s="23">
        <f t="shared" si="4"/>
        <v>0.0651</v>
      </c>
    </row>
    <row r="61" ht="12.75" customHeight="1">
      <c r="A61" s="19" t="s">
        <v>59</v>
      </c>
      <c r="B61" s="20" t="s">
        <v>32</v>
      </c>
      <c r="C61" s="2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25"/>
      <c r="CF61" s="23"/>
      <c r="CG61" s="23"/>
    </row>
    <row r="62" ht="12.75" customHeight="1">
      <c r="A62" s="19" t="s">
        <v>60</v>
      </c>
      <c r="B62" s="20" t="s">
        <v>61</v>
      </c>
      <c r="C62" s="2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25">
        <v>0.103</v>
      </c>
      <c r="CF62" s="23">
        <f t="shared" ref="CF62:CF76" si="5">CE62*5%</f>
        <v>0.00515</v>
      </c>
      <c r="CG62" s="23">
        <f t="shared" ref="CG62:CG76" si="6">CE62+CF62</f>
        <v>0.10815</v>
      </c>
    </row>
    <row r="63" ht="12.75" customHeight="1">
      <c r="A63" s="19" t="s">
        <v>62</v>
      </c>
      <c r="B63" s="20" t="s">
        <v>63</v>
      </c>
      <c r="C63" s="2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25">
        <v>0.078</v>
      </c>
      <c r="CF63" s="23">
        <f t="shared" si="5"/>
        <v>0.0039</v>
      </c>
      <c r="CG63" s="23">
        <f t="shared" si="6"/>
        <v>0.0819</v>
      </c>
    </row>
    <row r="64" ht="12.75" customHeight="1">
      <c r="A64" s="19" t="s">
        <v>64</v>
      </c>
      <c r="B64" s="20" t="s">
        <v>32</v>
      </c>
      <c r="C64" s="2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25">
        <v>0.19</v>
      </c>
      <c r="CF64" s="23">
        <f t="shared" si="5"/>
        <v>0.0095</v>
      </c>
      <c r="CG64" s="23">
        <f t="shared" si="6"/>
        <v>0.1995</v>
      </c>
    </row>
    <row r="65" ht="12.75" customHeight="1">
      <c r="A65" s="19" t="s">
        <v>65</v>
      </c>
      <c r="B65" s="20" t="s">
        <v>29</v>
      </c>
      <c r="C65" s="2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25">
        <v>0.296</v>
      </c>
      <c r="CF65" s="23">
        <f t="shared" si="5"/>
        <v>0.0148</v>
      </c>
      <c r="CG65" s="23">
        <f t="shared" si="6"/>
        <v>0.3108</v>
      </c>
    </row>
    <row r="66" ht="12.75" customHeight="1">
      <c r="A66" s="19" t="s">
        <v>66</v>
      </c>
      <c r="B66" s="20" t="s">
        <v>32</v>
      </c>
      <c r="C66" s="2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25">
        <v>0.338</v>
      </c>
      <c r="CF66" s="23">
        <f t="shared" si="5"/>
        <v>0.0169</v>
      </c>
      <c r="CG66" s="23">
        <f t="shared" si="6"/>
        <v>0.3549</v>
      </c>
    </row>
    <row r="67" ht="12.75" customHeight="1">
      <c r="A67" s="19" t="s">
        <v>67</v>
      </c>
      <c r="B67" s="20" t="s">
        <v>32</v>
      </c>
      <c r="C67" s="2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25">
        <v>1.8</v>
      </c>
      <c r="CF67" s="23">
        <f t="shared" si="5"/>
        <v>0.09</v>
      </c>
      <c r="CG67" s="23">
        <f t="shared" si="6"/>
        <v>1.89</v>
      </c>
    </row>
    <row r="68" ht="12.75" customHeight="1">
      <c r="A68" s="19" t="s">
        <v>68</v>
      </c>
      <c r="B68" s="20" t="s">
        <v>32</v>
      </c>
      <c r="C68" s="2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22">
        <v>2.7</v>
      </c>
      <c r="CF68" s="23">
        <f t="shared" si="5"/>
        <v>0.135</v>
      </c>
      <c r="CG68" s="23">
        <f t="shared" si="6"/>
        <v>2.835</v>
      </c>
    </row>
    <row r="69" ht="12.75" customHeight="1">
      <c r="A69" s="19" t="s">
        <v>69</v>
      </c>
      <c r="B69" s="20" t="s">
        <v>32</v>
      </c>
      <c r="C69" s="2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22">
        <v>1.63</v>
      </c>
      <c r="CF69" s="23">
        <f t="shared" si="5"/>
        <v>0.0815</v>
      </c>
      <c r="CG69" s="23">
        <f t="shared" si="6"/>
        <v>1.7115</v>
      </c>
    </row>
    <row r="70" ht="12.75" customHeight="1">
      <c r="A70" s="19" t="s">
        <v>70</v>
      </c>
      <c r="B70" s="20" t="s">
        <v>32</v>
      </c>
      <c r="C70" s="2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22">
        <v>4.38</v>
      </c>
      <c r="CF70" s="23">
        <f t="shared" si="5"/>
        <v>0.219</v>
      </c>
      <c r="CG70" s="23">
        <f t="shared" si="6"/>
        <v>4.599</v>
      </c>
    </row>
    <row r="71" ht="12.75" customHeight="1">
      <c r="A71" s="19" t="s">
        <v>71</v>
      </c>
      <c r="B71" s="20" t="s">
        <v>32</v>
      </c>
      <c r="C71" s="2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22">
        <v>0.11</v>
      </c>
      <c r="CF71" s="23">
        <f t="shared" si="5"/>
        <v>0.0055</v>
      </c>
      <c r="CG71" s="23">
        <f t="shared" si="6"/>
        <v>0.1155</v>
      </c>
    </row>
    <row r="72" ht="12.75" customHeight="1">
      <c r="A72" s="19" t="s">
        <v>72</v>
      </c>
      <c r="B72" s="20" t="s">
        <v>32</v>
      </c>
      <c r="C72" s="2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22">
        <v>0.8</v>
      </c>
      <c r="CF72" s="23">
        <f t="shared" si="5"/>
        <v>0.04</v>
      </c>
      <c r="CG72" s="23">
        <f t="shared" si="6"/>
        <v>0.84</v>
      </c>
    </row>
    <row r="73" ht="12.75" customHeight="1">
      <c r="A73" s="19" t="s">
        <v>73</v>
      </c>
      <c r="B73" s="20" t="s">
        <v>74</v>
      </c>
      <c r="C73" s="2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22">
        <v>18.55</v>
      </c>
      <c r="CF73" s="23">
        <f t="shared" si="5"/>
        <v>0.9275</v>
      </c>
      <c r="CG73" s="23">
        <f t="shared" si="6"/>
        <v>19.4775</v>
      </c>
    </row>
    <row r="74" ht="12.75" customHeight="1">
      <c r="A74" s="19" t="s">
        <v>75</v>
      </c>
      <c r="B74" s="20" t="s">
        <v>76</v>
      </c>
      <c r="C74" s="2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22">
        <v>7.6</v>
      </c>
      <c r="CF74" s="23">
        <f t="shared" si="5"/>
        <v>0.38</v>
      </c>
      <c r="CG74" s="23">
        <f t="shared" si="6"/>
        <v>7.98</v>
      </c>
    </row>
    <row r="75" ht="12.75" customHeight="1">
      <c r="A75" s="19" t="s">
        <v>77</v>
      </c>
      <c r="B75" s="20" t="s">
        <v>32</v>
      </c>
      <c r="C75" s="2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22">
        <v>8.55</v>
      </c>
      <c r="CF75" s="23">
        <f t="shared" si="5"/>
        <v>0.4275</v>
      </c>
      <c r="CG75" s="23">
        <f t="shared" si="6"/>
        <v>8.9775</v>
      </c>
    </row>
    <row r="76" ht="12.75" customHeight="1">
      <c r="A76" s="19" t="s">
        <v>78</v>
      </c>
      <c r="B76" s="20" t="s">
        <v>79</v>
      </c>
      <c r="C76" s="2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22">
        <v>1.53</v>
      </c>
      <c r="CF76" s="23">
        <f t="shared" si="5"/>
        <v>0.0765</v>
      </c>
      <c r="CG76" s="23">
        <f t="shared" si="6"/>
        <v>1.6065</v>
      </c>
    </row>
    <row r="77" ht="12.75" customHeight="1">
      <c r="A77" s="26"/>
      <c r="B77" s="27"/>
      <c r="C77" s="2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22"/>
      <c r="CF77" s="23"/>
      <c r="CG77" s="23"/>
    </row>
    <row r="78" ht="12.75" customHeight="1">
      <c r="A78" s="1"/>
      <c r="B78" s="1"/>
      <c r="C78" s="2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22">
        <v>2.37</v>
      </c>
      <c r="CF78" s="23">
        <f t="shared" ref="CF78:CF81" si="7">CE78*5%</f>
        <v>0.1185</v>
      </c>
      <c r="CG78" s="23">
        <f t="shared" ref="CG78:CG81" si="8">CE78+CF78</f>
        <v>2.4885</v>
      </c>
    </row>
    <row r="79" ht="12.75" customHeight="1">
      <c r="A79" s="29" t="s">
        <v>80</v>
      </c>
      <c r="B79" s="17" t="s">
        <v>24</v>
      </c>
      <c r="C79" s="17" t="s">
        <v>25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22">
        <v>1.89</v>
      </c>
      <c r="CF79" s="23">
        <f t="shared" si="7"/>
        <v>0.0945</v>
      </c>
      <c r="CG79" s="23">
        <f t="shared" si="8"/>
        <v>1.9845</v>
      </c>
    </row>
    <row r="80" ht="12.75" customHeight="1">
      <c r="A80" s="19" t="s">
        <v>34</v>
      </c>
      <c r="B80" s="20" t="s">
        <v>32</v>
      </c>
      <c r="C80" s="2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22">
        <v>2.3</v>
      </c>
      <c r="CF80" s="23">
        <f t="shared" si="7"/>
        <v>0.115</v>
      </c>
      <c r="CG80" s="23">
        <f t="shared" si="8"/>
        <v>2.415</v>
      </c>
    </row>
    <row r="81" ht="12.75" customHeight="1">
      <c r="A81" s="19" t="s">
        <v>81</v>
      </c>
      <c r="B81" s="20" t="s">
        <v>32</v>
      </c>
      <c r="C81" s="2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22">
        <v>2.55</v>
      </c>
      <c r="CF81" s="23">
        <f t="shared" si="7"/>
        <v>0.1275</v>
      </c>
      <c r="CG81" s="23">
        <f t="shared" si="8"/>
        <v>2.6775</v>
      </c>
    </row>
    <row r="82" ht="12.75" customHeight="1">
      <c r="A82" s="19" t="s">
        <v>36</v>
      </c>
      <c r="B82" s="20" t="s">
        <v>32</v>
      </c>
      <c r="C82" s="2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22"/>
      <c r="CF82" s="23"/>
      <c r="CG82" s="23"/>
    </row>
    <row r="83" ht="12.75" customHeight="1">
      <c r="A83" s="19" t="s">
        <v>82</v>
      </c>
      <c r="B83" s="20" t="s">
        <v>32</v>
      </c>
      <c r="C83" s="2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22"/>
      <c r="CF83" s="23"/>
      <c r="CG83" s="23"/>
    </row>
    <row r="84" ht="12.75" customHeight="1">
      <c r="A84" s="19" t="s">
        <v>38</v>
      </c>
      <c r="B84" s="20" t="s">
        <v>32</v>
      </c>
      <c r="C84" s="2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22"/>
      <c r="CF84" s="23"/>
      <c r="CG84" s="23"/>
    </row>
    <row r="85" ht="12.75" customHeight="1">
      <c r="A85" s="19" t="s">
        <v>40</v>
      </c>
      <c r="B85" s="20" t="s">
        <v>32</v>
      </c>
      <c r="C85" s="2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22">
        <v>0.17</v>
      </c>
      <c r="CF85" s="23">
        <f t="shared" ref="CF85:CF87" si="9">CE85*5%</f>
        <v>0.0085</v>
      </c>
      <c r="CG85" s="23">
        <f t="shared" ref="CG85:CG87" si="10">CE85+CF85</f>
        <v>0.1785</v>
      </c>
    </row>
    <row r="86" ht="12.75" customHeight="1">
      <c r="A86" s="19" t="s">
        <v>44</v>
      </c>
      <c r="B86" s="20" t="s">
        <v>32</v>
      </c>
      <c r="C86" s="2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22">
        <v>0.3</v>
      </c>
      <c r="CF86" s="23">
        <f t="shared" si="9"/>
        <v>0.015</v>
      </c>
      <c r="CG86" s="23">
        <f t="shared" si="10"/>
        <v>0.315</v>
      </c>
    </row>
    <row r="87" ht="12.75" customHeight="1">
      <c r="A87" s="19" t="s">
        <v>45</v>
      </c>
      <c r="B87" s="20" t="s">
        <v>32</v>
      </c>
      <c r="C87" s="2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22">
        <v>0.91</v>
      </c>
      <c r="CF87" s="23">
        <f t="shared" si="9"/>
        <v>0.0455</v>
      </c>
      <c r="CG87" s="23">
        <f t="shared" si="10"/>
        <v>0.9555</v>
      </c>
    </row>
    <row r="88" ht="12.75" customHeight="1">
      <c r="A88" s="19" t="s">
        <v>83</v>
      </c>
      <c r="B88" s="20" t="s">
        <v>32</v>
      </c>
      <c r="C88" s="21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</row>
    <row r="89" ht="12.75" customHeight="1">
      <c r="A89" s="19" t="s">
        <v>84</v>
      </c>
      <c r="B89" s="20" t="s">
        <v>32</v>
      </c>
      <c r="C89" s="2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ht="12.75" customHeight="1">
      <c r="A90" s="19" t="s">
        <v>67</v>
      </c>
      <c r="B90" s="20" t="s">
        <v>32</v>
      </c>
      <c r="C90" s="2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ht="12.75" customHeight="1">
      <c r="A91" s="19" t="s">
        <v>68</v>
      </c>
      <c r="B91" s="20" t="s">
        <v>32</v>
      </c>
      <c r="C91" s="2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ht="12.75" customHeight="1">
      <c r="A92" s="19" t="s">
        <v>69</v>
      </c>
      <c r="B92" s="20" t="s">
        <v>32</v>
      </c>
      <c r="C92" s="2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ht="12.75" customHeight="1">
      <c r="A93" s="19" t="s">
        <v>70</v>
      </c>
      <c r="B93" s="20" t="s">
        <v>32</v>
      </c>
      <c r="C93" s="2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ht="12.75" customHeight="1">
      <c r="A94" s="19" t="s">
        <v>85</v>
      </c>
      <c r="B94" s="20" t="s">
        <v>32</v>
      </c>
      <c r="C94" s="2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ht="12.75" customHeight="1">
      <c r="A95" s="31" t="s">
        <v>86</v>
      </c>
      <c r="B95" s="32" t="s">
        <v>32</v>
      </c>
      <c r="C95" s="3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ht="12.75" customHeight="1">
      <c r="A96" s="31" t="s">
        <v>87</v>
      </c>
      <c r="B96" s="32" t="s">
        <v>32</v>
      </c>
      <c r="C96" s="3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ht="12.75" customHeight="1">
      <c r="A97" s="1"/>
      <c r="B97" s="1"/>
      <c r="C97" s="2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ht="12.75" customHeight="1">
      <c r="A98" s="29" t="s">
        <v>88</v>
      </c>
      <c r="B98" s="17" t="s">
        <v>24</v>
      </c>
      <c r="C98" s="17" t="s">
        <v>25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ht="12.75" customHeight="1">
      <c r="A99" s="19" t="s">
        <v>89</v>
      </c>
      <c r="B99" s="20" t="s">
        <v>32</v>
      </c>
      <c r="C99" s="2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ht="12.75" customHeight="1">
      <c r="A100" s="19" t="s">
        <v>90</v>
      </c>
      <c r="B100" s="20" t="s">
        <v>32</v>
      </c>
      <c r="C100" s="2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ht="12.75" customHeight="1">
      <c r="A101" s="34" t="s">
        <v>91</v>
      </c>
      <c r="B101" s="20" t="s">
        <v>32</v>
      </c>
      <c r="C101" s="2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ht="12.75" customHeight="1">
      <c r="A102" s="34" t="s">
        <v>92</v>
      </c>
      <c r="B102" s="20" t="s">
        <v>32</v>
      </c>
      <c r="C102" s="2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ht="12.75" customHeight="1">
      <c r="A103" s="34" t="s">
        <v>93</v>
      </c>
      <c r="B103" s="20" t="s">
        <v>32</v>
      </c>
      <c r="C103" s="2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ht="12.75" customHeight="1">
      <c r="A104" s="34" t="s">
        <v>94</v>
      </c>
      <c r="B104" s="20" t="s">
        <v>95</v>
      </c>
      <c r="C104" s="2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ht="12.75" customHeight="1">
      <c r="A105" s="34" t="s">
        <v>96</v>
      </c>
      <c r="B105" s="20" t="s">
        <v>32</v>
      </c>
      <c r="C105" s="2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ht="12.75" customHeight="1">
      <c r="A106" s="34" t="s">
        <v>97</v>
      </c>
      <c r="B106" s="20" t="s">
        <v>32</v>
      </c>
      <c r="C106" s="2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ht="12.75" customHeight="1">
      <c r="A107" s="34" t="s">
        <v>98</v>
      </c>
      <c r="B107" s="20" t="s">
        <v>32</v>
      </c>
      <c r="C107" s="2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ht="12.75" customHeight="1">
      <c r="A108" s="34" t="s">
        <v>99</v>
      </c>
      <c r="B108" s="20" t="s">
        <v>58</v>
      </c>
      <c r="C108" s="2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ht="12.75" customHeight="1">
      <c r="A109" s="34" t="s">
        <v>100</v>
      </c>
      <c r="B109" s="20" t="s">
        <v>32</v>
      </c>
      <c r="C109" s="2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ht="12.75" customHeight="1">
      <c r="A110" s="34" t="s">
        <v>101</v>
      </c>
      <c r="B110" s="20" t="s">
        <v>32</v>
      </c>
      <c r="C110" s="2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ht="12.75" customHeight="1">
      <c r="A111" s="34" t="s">
        <v>102</v>
      </c>
      <c r="B111" s="20" t="s">
        <v>32</v>
      </c>
      <c r="C111" s="2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ht="12.75" customHeight="1">
      <c r="A112" s="34" t="s">
        <v>103</v>
      </c>
      <c r="B112" s="20" t="s">
        <v>32</v>
      </c>
      <c r="C112" s="2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ht="12.75" customHeight="1">
      <c r="A113" s="34" t="s">
        <v>104</v>
      </c>
      <c r="B113" s="20" t="s">
        <v>32</v>
      </c>
      <c r="C113" s="2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ht="12.75" customHeight="1">
      <c r="A114" s="34" t="s">
        <v>105</v>
      </c>
      <c r="B114" s="20" t="s">
        <v>32</v>
      </c>
      <c r="C114" s="2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ht="12.75" customHeight="1">
      <c r="A115" s="34" t="s">
        <v>106</v>
      </c>
      <c r="B115" s="20" t="s">
        <v>32</v>
      </c>
      <c r="C115" s="2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ht="12.75" customHeight="1">
      <c r="A116" s="34" t="s">
        <v>107</v>
      </c>
      <c r="B116" s="20" t="s">
        <v>32</v>
      </c>
      <c r="C116" s="2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ht="12.75" customHeight="1">
      <c r="A117" s="34" t="s">
        <v>108</v>
      </c>
      <c r="B117" s="20" t="s">
        <v>32</v>
      </c>
      <c r="C117" s="2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ht="12.75" customHeight="1">
      <c r="A118" s="19" t="s">
        <v>109</v>
      </c>
      <c r="B118" s="20" t="s">
        <v>32</v>
      </c>
      <c r="C118" s="2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ht="12.75" customHeight="1">
      <c r="A119" s="19" t="s">
        <v>110</v>
      </c>
      <c r="B119" s="20" t="s">
        <v>32</v>
      </c>
      <c r="C119" s="2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ht="12.75" customHeight="1">
      <c r="A120" s="19" t="s">
        <v>111</v>
      </c>
      <c r="B120" s="20" t="s">
        <v>32</v>
      </c>
      <c r="C120" s="2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ht="12.75" customHeight="1">
      <c r="A121" s="19" t="s">
        <v>112</v>
      </c>
      <c r="B121" s="20" t="s">
        <v>32</v>
      </c>
      <c r="C121" s="2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ht="12.75" customHeight="1">
      <c r="A122" s="19" t="s">
        <v>113</v>
      </c>
      <c r="B122" s="20" t="s">
        <v>32</v>
      </c>
      <c r="C122" s="2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ht="12.75" customHeight="1">
      <c r="A123" s="19" t="s">
        <v>114</v>
      </c>
      <c r="B123" s="20" t="s">
        <v>32</v>
      </c>
      <c r="C123" s="2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ht="12.75" customHeight="1">
      <c r="A124" s="19" t="s">
        <v>115</v>
      </c>
      <c r="B124" s="20" t="s">
        <v>32</v>
      </c>
      <c r="C124" s="2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ht="12.75" customHeight="1">
      <c r="A125" s="19" t="s">
        <v>116</v>
      </c>
      <c r="B125" s="20" t="s">
        <v>32</v>
      </c>
      <c r="C125" s="2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ht="12.75" customHeight="1">
      <c r="A126" s="19" t="s">
        <v>117</v>
      </c>
      <c r="B126" s="20" t="s">
        <v>32</v>
      </c>
      <c r="C126" s="2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ht="12.75" customHeight="1">
      <c r="A127" s="19" t="s">
        <v>118</v>
      </c>
      <c r="B127" s="20" t="s">
        <v>32</v>
      </c>
      <c r="C127" s="2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ht="12.75" customHeight="1">
      <c r="A128" s="19" t="s">
        <v>119</v>
      </c>
      <c r="B128" s="20" t="s">
        <v>32</v>
      </c>
      <c r="C128" s="2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ht="12.75" customHeight="1">
      <c r="A129" s="19" t="s">
        <v>120</v>
      </c>
      <c r="B129" s="20" t="s">
        <v>32</v>
      </c>
      <c r="C129" s="2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ht="12.75" customHeight="1">
      <c r="A130" s="19" t="s">
        <v>121</v>
      </c>
      <c r="B130" s="20" t="s">
        <v>32</v>
      </c>
      <c r="C130" s="2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ht="12.75" customHeight="1">
      <c r="A131" s="19" t="s">
        <v>122</v>
      </c>
      <c r="B131" s="20" t="s">
        <v>32</v>
      </c>
      <c r="C131" s="2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ht="12.75" customHeight="1">
      <c r="A132" s="19" t="s">
        <v>123</v>
      </c>
      <c r="B132" s="20" t="s">
        <v>32</v>
      </c>
      <c r="C132" s="2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ht="12.75" customHeight="1">
      <c r="A133" s="19" t="s">
        <v>124</v>
      </c>
      <c r="B133" s="20" t="s">
        <v>32</v>
      </c>
      <c r="C133" s="2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ht="12.75" customHeight="1">
      <c r="A134" s="19" t="s">
        <v>125</v>
      </c>
      <c r="B134" s="20" t="s">
        <v>32</v>
      </c>
      <c r="C134" s="2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ht="12.75" customHeight="1">
      <c r="A135" s="19" t="s">
        <v>126</v>
      </c>
      <c r="B135" s="20" t="s">
        <v>32</v>
      </c>
      <c r="C135" s="2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ht="12.75" customHeight="1">
      <c r="A136" s="19" t="s">
        <v>127</v>
      </c>
      <c r="B136" s="20" t="s">
        <v>32</v>
      </c>
      <c r="C136" s="2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ht="12.75" customHeight="1">
      <c r="A137" s="34" t="s">
        <v>128</v>
      </c>
      <c r="B137" s="20" t="s">
        <v>32</v>
      </c>
      <c r="C137" s="2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ht="12.75" customHeight="1">
      <c r="A138" s="34" t="s">
        <v>129</v>
      </c>
      <c r="B138" s="20" t="s">
        <v>32</v>
      </c>
      <c r="C138" s="2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ht="12.75" customHeight="1">
      <c r="A139" s="34" t="s">
        <v>130</v>
      </c>
      <c r="B139" s="20" t="s">
        <v>32</v>
      </c>
      <c r="C139" s="2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ht="12.75" customHeight="1">
      <c r="A140" s="34" t="s">
        <v>131</v>
      </c>
      <c r="B140" s="20" t="s">
        <v>32</v>
      </c>
      <c r="C140" s="2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ht="12.75" customHeight="1">
      <c r="A141" s="19" t="s">
        <v>132</v>
      </c>
      <c r="B141" s="20" t="s">
        <v>32</v>
      </c>
      <c r="C141" s="2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ht="12.75" customHeight="1">
      <c r="A142" s="19" t="s">
        <v>133</v>
      </c>
      <c r="B142" s="20" t="s">
        <v>32</v>
      </c>
      <c r="C142" s="2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ht="12.75" customHeight="1">
      <c r="A143" s="19" t="s">
        <v>134</v>
      </c>
      <c r="B143" s="20" t="s">
        <v>32</v>
      </c>
      <c r="C143" s="2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ht="12.75" customHeight="1">
      <c r="A144" s="19" t="s">
        <v>135</v>
      </c>
      <c r="B144" s="20" t="s">
        <v>32</v>
      </c>
      <c r="C144" s="2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ht="12.75" customHeight="1">
      <c r="A145" s="19" t="s">
        <v>136</v>
      </c>
      <c r="B145" s="20" t="s">
        <v>32</v>
      </c>
      <c r="C145" s="2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ht="12.75" customHeight="1">
      <c r="A146" s="19" t="s">
        <v>137</v>
      </c>
      <c r="B146" s="20" t="s">
        <v>32</v>
      </c>
      <c r="C146" s="2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ht="12.75" customHeight="1">
      <c r="A147" s="19" t="s">
        <v>138</v>
      </c>
      <c r="B147" s="20" t="s">
        <v>32</v>
      </c>
      <c r="C147" s="2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ht="12.75" customHeight="1">
      <c r="A149" s="35" t="s">
        <v>139</v>
      </c>
      <c r="B149" s="35" t="s">
        <v>140</v>
      </c>
      <c r="C149" s="35" t="s">
        <v>141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ht="12.75" customHeight="1">
      <c r="A150" s="35"/>
      <c r="B150" s="35" t="s">
        <v>142</v>
      </c>
      <c r="C150" s="35" t="s">
        <v>143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ht="12.75" customHeight="1">
      <c r="A151" s="1" t="s">
        <v>144</v>
      </c>
      <c r="B151" s="36">
        <v>0.0</v>
      </c>
      <c r="C151" s="36">
        <v>0.0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ht="12.75" customHeight="1">
      <c r="A152" s="1" t="s">
        <v>145</v>
      </c>
      <c r="B152" s="36">
        <v>0.0</v>
      </c>
      <c r="C152" s="1">
        <v>0.0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ht="12.75" customHeight="1">
      <c r="A153" s="1" t="s">
        <v>146</v>
      </c>
      <c r="B153" s="36">
        <v>0.0</v>
      </c>
      <c r="C153" s="36">
        <v>0.0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ht="12.75" customHeight="1">
      <c r="A154" s="1" t="s">
        <v>147</v>
      </c>
      <c r="B154" s="36">
        <v>0.0</v>
      </c>
      <c r="C154" s="36">
        <v>0.0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ht="12.75" customHeight="1">
      <c r="A155" s="1" t="s">
        <v>148</v>
      </c>
      <c r="B155" s="36">
        <v>0.0</v>
      </c>
      <c r="C155" s="36">
        <v>0.0</v>
      </c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</row>
    <row r="156" ht="12.75" customHeight="1">
      <c r="A156" s="1" t="s">
        <v>149</v>
      </c>
      <c r="B156" s="36">
        <v>0.0</v>
      </c>
      <c r="C156" s="1">
        <v>0.0</v>
      </c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  <c r="BP156" s="38"/>
      <c r="BQ156" s="38"/>
      <c r="BR156" s="38"/>
      <c r="BS156" s="38"/>
      <c r="BT156" s="38"/>
      <c r="BU156" s="38"/>
      <c r="BV156" s="38"/>
      <c r="BW156" s="38"/>
      <c r="BX156" s="38"/>
      <c r="BY156" s="38"/>
      <c r="BZ156" s="38"/>
      <c r="CA156" s="38"/>
      <c r="CB156" s="38"/>
      <c r="CC156" s="38"/>
      <c r="CD156" s="38"/>
      <c r="CE156" s="38"/>
      <c r="CF156" s="38"/>
      <c r="CG156" s="38"/>
    </row>
    <row r="157" ht="12.75" customHeight="1">
      <c r="A157" s="1" t="s">
        <v>150</v>
      </c>
      <c r="B157" s="36">
        <v>0.0</v>
      </c>
      <c r="C157" s="1">
        <v>0.0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</row>
    <row r="158" ht="12.75" customHeight="1">
      <c r="A158" s="1" t="s">
        <v>151</v>
      </c>
      <c r="B158" s="36">
        <v>0.0</v>
      </c>
      <c r="C158" s="1">
        <v>0.0</v>
      </c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</row>
    <row r="159" ht="12.75" customHeight="1">
      <c r="A159" s="1" t="s">
        <v>152</v>
      </c>
      <c r="B159" s="36">
        <v>0.0</v>
      </c>
      <c r="C159" s="1">
        <v>0.0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ht="12.75" customHeight="1">
      <c r="A160" s="41" t="s">
        <v>153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</row>
  </sheetData>
  <mergeCells count="18">
    <mergeCell ref="B3:C3"/>
    <mergeCell ref="A4:A5"/>
    <mergeCell ref="B7:C7"/>
    <mergeCell ref="B8:C8"/>
    <mergeCell ref="B9:C9"/>
    <mergeCell ref="B10:C10"/>
    <mergeCell ref="B11:C11"/>
    <mergeCell ref="B21:C21"/>
    <mergeCell ref="B22:B23"/>
    <mergeCell ref="B18:C18"/>
    <mergeCell ref="B19:C19"/>
    <mergeCell ref="B12:C12"/>
    <mergeCell ref="B13:C13"/>
    <mergeCell ref="B14:C14"/>
    <mergeCell ref="B15:C15"/>
    <mergeCell ref="B16:C16"/>
    <mergeCell ref="B17:C17"/>
    <mergeCell ref="A21:A2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2009-02-02T21:34:39Z</dcterms:created>
  <dc:creator>Intel</dc:creator>
</cp:coreProperties>
</file>