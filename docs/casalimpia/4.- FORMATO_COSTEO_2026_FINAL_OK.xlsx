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ANENTE" sheetId="1" r:id="rId4"/>
    <sheet state="visible" name="ESPECIAL" sheetId="2" r:id="rId5"/>
    <sheet state="visible" name="Domestica" sheetId="3" r:id="rId6"/>
  </sheets>
  <definedNames/>
  <calcPr/>
  <extLst>
    <ext uri="GoogleSheetsCustomDataVersion2">
      <go:sheetsCustomData xmlns:go="http://customooxmlschemas.google.com/" r:id="rId7" roundtripDataChecksum="eFf3GoaW9uGj8dfHn51lEgMOheTT/oPXv5qP+JPi0B0="/>
    </ext>
  </extLst>
</workbook>
</file>

<file path=xl/sharedStrings.xml><?xml version="1.0" encoding="utf-8"?>
<sst xmlns="http://schemas.openxmlformats.org/spreadsheetml/2006/main" count="658" uniqueCount="198">
  <si>
    <t>TC</t>
  </si>
  <si>
    <t>TP</t>
  </si>
  <si>
    <t>Valor hora normal</t>
  </si>
  <si>
    <t>NOMBRE DEL CONTRATO</t>
  </si>
  <si>
    <t>Valor hora extra Diurna</t>
  </si>
  <si>
    <t xml:space="preserve">SALARIO OPERATIVOS </t>
  </si>
  <si>
    <t>PERMANENTE</t>
  </si>
  <si>
    <t>Valor hora extra fines de semana</t>
  </si>
  <si>
    <t>SALARIO MENSAJEROS</t>
  </si>
  <si>
    <t>Recargo Nocturno</t>
  </si>
  <si>
    <t>CARGA PRESTACIONAL</t>
  </si>
  <si>
    <t>PERSONAL</t>
  </si>
  <si>
    <t>HORARIOS</t>
  </si>
  <si>
    <t xml:space="preserve">TOTAL </t>
  </si>
  <si>
    <t>SABADOS</t>
  </si>
  <si>
    <t>SALARIO</t>
  </si>
  <si>
    <t xml:space="preserve"> No HORAS</t>
  </si>
  <si>
    <t>VALOR HORAS</t>
  </si>
  <si>
    <t xml:space="preserve"> No REACARGOS</t>
  </si>
  <si>
    <t xml:space="preserve">RECARGO </t>
  </si>
  <si>
    <t>BONOS</t>
  </si>
  <si>
    <t>TOTAL</t>
  </si>
  <si>
    <t>NUMERO DE OPERARIOS</t>
  </si>
  <si>
    <t>LUNES A VIERNES</t>
  </si>
  <si>
    <t>HORAS</t>
  </si>
  <si>
    <t>DOMINGOS</t>
  </si>
  <si>
    <t>BASICO</t>
  </si>
  <si>
    <t>ADICIONALES</t>
  </si>
  <si>
    <t>NOCTURNOS</t>
  </si>
  <si>
    <t>NOCTURNO</t>
  </si>
  <si>
    <t>SUELDO</t>
  </si>
  <si>
    <t>SEMANAL</t>
  </si>
  <si>
    <t>INSUMOS</t>
  </si>
  <si>
    <t>PRESENTACIÓN</t>
  </si>
  <si>
    <t>CANTIDAD</t>
  </si>
  <si>
    <t>PRECIO</t>
  </si>
  <si>
    <t xml:space="preserve">COSTO </t>
  </si>
  <si>
    <t>CARGA</t>
  </si>
  <si>
    <t>TOTAL COSTO</t>
  </si>
  <si>
    <t>ACEITE PARA MUEBLES SPRAY</t>
  </si>
  <si>
    <t xml:space="preserve">SPRAY </t>
  </si>
  <si>
    <t>PRESTACIONAL</t>
  </si>
  <si>
    <t>POR PERSONAS</t>
  </si>
  <si>
    <t xml:space="preserve">ALCOHOL INDUSTRIAL </t>
  </si>
  <si>
    <t>LITRO</t>
  </si>
  <si>
    <t>AMBIENTAL</t>
  </si>
  <si>
    <t>AMBIENTAL SPRAY 360 mg</t>
  </si>
  <si>
    <t>UNIDAD</t>
  </si>
  <si>
    <t>AMBIENTAL PASTILLAS 95 grs.</t>
  </si>
  <si>
    <t>ARAGAN  DOMESTICO</t>
  </si>
  <si>
    <t xml:space="preserve">ATOMIZADORES </t>
  </si>
  <si>
    <t>BALDES DE 10 litros</t>
  </si>
  <si>
    <t>CEPILLO LAVA ROPA  DE MANO</t>
  </si>
  <si>
    <t>CEPILLO PARA SANITARIOS O MANO DE OSO</t>
  </si>
  <si>
    <t>CERA LÍQUIDA O ANTIDESLISANTE</t>
  </si>
  <si>
    <t>CHUPAS</t>
  </si>
  <si>
    <t>CLORO  LÍQUIDO</t>
  </si>
  <si>
    <t>TOTAL COSTOS PERSONAL</t>
  </si>
  <si>
    <t>DETERGENTE INDUSTRIAL EN POLVO 500 gm</t>
  </si>
  <si>
    <t>LIBRA</t>
  </si>
  <si>
    <t>ESCOBA DURA</t>
  </si>
  <si>
    <t>ESCOBA SUAVE</t>
  </si>
  <si>
    <t xml:space="preserve">ESPATULA </t>
  </si>
  <si>
    <t xml:space="preserve">FRANELA MICROFIBRA </t>
  </si>
  <si>
    <t>FUNDA NEGRA 18*24</t>
  </si>
  <si>
    <t xml:space="preserve">FUNDA NEGRA 23*28  </t>
  </si>
  <si>
    <t xml:space="preserve">FUNDA NEGRA 30*37   </t>
  </si>
  <si>
    <t xml:space="preserve">FUNDA NEGRA 35*47   </t>
  </si>
  <si>
    <t xml:space="preserve">FUNDA ROJA 18 *24        </t>
  </si>
  <si>
    <t xml:space="preserve">FUNDA ROJA 23*28       </t>
  </si>
  <si>
    <t xml:space="preserve">FUNDA ROJA 30*36         </t>
  </si>
  <si>
    <t>FUNDA ROJA 34*47</t>
  </si>
  <si>
    <t>FRANELA PARA MOPA</t>
  </si>
  <si>
    <t>GUANTES DE CAUCHO MASTER BICOLOR VARIAS TALLAS</t>
  </si>
  <si>
    <t>PAR</t>
  </si>
  <si>
    <t>MASCARILLA</t>
  </si>
  <si>
    <t>INSECTICIDA  1000 c.c.</t>
  </si>
  <si>
    <t>FRASCO</t>
  </si>
  <si>
    <t>LAVA MEDIANO 250 GR.</t>
  </si>
  <si>
    <t>RECIPIENTE</t>
  </si>
  <si>
    <t>LIJAS DE AGUA</t>
  </si>
  <si>
    <t>LÍQUIDO LIMPIA VIDRIOS</t>
  </si>
  <si>
    <t>MECHA PARA TRAPERO 300 gm</t>
  </si>
  <si>
    <t xml:space="preserve">MOPA MEDIANA </t>
  </si>
  <si>
    <t>PAD 17" CUALQUIER COLOR</t>
  </si>
  <si>
    <t>PAD 20" CUALQUIER COLOR</t>
  </si>
  <si>
    <t>RECOGEDOR CON PALO</t>
  </si>
  <si>
    <t>SAQUILLO</t>
  </si>
  <si>
    <t>TRAPEADOR DE ALGODÓN 300 GM</t>
  </si>
  <si>
    <t>PIOLA</t>
  </si>
  <si>
    <t>ROLLO</t>
  </si>
  <si>
    <t>ACEITE DE 2 TIEMPOS</t>
  </si>
  <si>
    <t>LITROS</t>
  </si>
  <si>
    <t>VILEDA</t>
  </si>
  <si>
    <t xml:space="preserve">GASOLINA </t>
  </si>
  <si>
    <t>GALON</t>
  </si>
  <si>
    <t>MONTAJE</t>
  </si>
  <si>
    <t>ATOMIZADORES PLASTICOS</t>
  </si>
  <si>
    <t>CEPILLO DE MANO</t>
  </si>
  <si>
    <t>ESPATULA DE 2"</t>
  </si>
  <si>
    <t>MECHA PARA TRAPERO 300 GM</t>
  </si>
  <si>
    <t>TRAPEADOR DE ALGODÓN 60 CM. O DE PABILO</t>
  </si>
  <si>
    <t>EXAMENES OCUPACIONEALES</t>
  </si>
  <si>
    <t>ELEMENTOS PROTECCIÒN Y UNIFORMES</t>
  </si>
  <si>
    <t>MAQUINARIA</t>
  </si>
  <si>
    <t>AVISO PREVENCIÓN / LETRERO DE SEÑALIZACION</t>
  </si>
  <si>
    <t>ARAGAN TELESCOPICO 250 cm.</t>
  </si>
  <si>
    <t>ASPIRADORA DOMESTICA</t>
  </si>
  <si>
    <t>ASPIRADORA SEMI INDUSTRIAL</t>
  </si>
  <si>
    <t>ASPIRADORA INDUSTRIAL</t>
  </si>
  <si>
    <t>ANADAMIOS</t>
  </si>
  <si>
    <t>SECCION</t>
  </si>
  <si>
    <t>CASCO</t>
  </si>
  <si>
    <t>KIT DE HERRAMIENTAS</t>
  </si>
  <si>
    <t>ARNES CON LINEA DE VIDA</t>
  </si>
  <si>
    <t>GUARTES NITRILO</t>
  </si>
  <si>
    <t>GAFAS</t>
  </si>
  <si>
    <t>BOTAS PUNTERAS DE ACERO</t>
  </si>
  <si>
    <t>KIT DE JARDINERIA</t>
  </si>
  <si>
    <t>CORTADORA DE CEPED</t>
  </si>
  <si>
    <t xml:space="preserve">MOTOGUADAÑA </t>
  </si>
  <si>
    <t>COPAS AUDITIVAS</t>
  </si>
  <si>
    <t>TAPONES AUDITIVOS</t>
  </si>
  <si>
    <t>GUANTES DE JARDINERIA</t>
  </si>
  <si>
    <t>GUANTES CARNAZA</t>
  </si>
  <si>
    <t>BOMBA NEBULIZADORA MICRODIFUSOR</t>
  </si>
  <si>
    <t>BONBA FUMIGADORA</t>
  </si>
  <si>
    <t>CABO ALUMINIO TRAPERO</t>
  </si>
  <si>
    <t>SUJETADOR MECHA</t>
  </si>
  <si>
    <t>CARRO HOSPITALARIO</t>
  </si>
  <si>
    <t>DELANTAL IMPERMEABLE PVC</t>
  </si>
  <si>
    <t>CARRO DESCOLILLADOR</t>
  </si>
  <si>
    <t>CEPILLO MAQUINA 17"</t>
  </si>
  <si>
    <t>CEPILLO MAQUINA 20"</t>
  </si>
  <si>
    <t>COCHE ESCURRIDOR  SIN DIV 20 ltros</t>
  </si>
  <si>
    <t xml:space="preserve">CUCHILLA PARA VIDRIOS  GRANDE INDUSTRIAL </t>
  </si>
  <si>
    <t xml:space="preserve">ESCALERA DE 3 PASOS </t>
  </si>
  <si>
    <t xml:space="preserve">ESCALERA DE 5 PASOS </t>
  </si>
  <si>
    <t>ESCALERA DE 7 PASOS</t>
  </si>
  <si>
    <t>ESCALERA DE 9 PASOS</t>
  </si>
  <si>
    <t>ESCALERA DE EXTENCION 6,38 MTS</t>
  </si>
  <si>
    <t>EXTENCIÓN ELECTRICA DE 50 MTRS</t>
  </si>
  <si>
    <t>EXTENCIÓN ELECTRICA 25 MTRS</t>
  </si>
  <si>
    <t>HIDROLAVADORA</t>
  </si>
  <si>
    <t>LAVA TAPETES - ALFOMBRAS</t>
  </si>
  <si>
    <t>LAVABRILLADORA DOMESTICA</t>
  </si>
  <si>
    <t>LAVABRILLADORA 17</t>
  </si>
  <si>
    <t>LAVABRILLADORA DE 20</t>
  </si>
  <si>
    <t>BOTAS DE CAUCHO</t>
  </si>
  <si>
    <t>TRAJE DE FUMIGACIÓN</t>
  </si>
  <si>
    <t>BATA ANTIFLUIDOS</t>
  </si>
  <si>
    <t>MASCARILLA DESEWCHABLE</t>
  </si>
  <si>
    <t>PALA METALICA  PARA BASURA</t>
  </si>
  <si>
    <t>PORTA PAD 17"</t>
  </si>
  <si>
    <t>PORTA PAD 20"</t>
  </si>
  <si>
    <t>No DIAS</t>
  </si>
  <si>
    <t>VALOR</t>
  </si>
  <si>
    <t>SEMANAS MES</t>
  </si>
  <si>
    <t>NUMERO PERSONAS</t>
  </si>
  <si>
    <t>OTROS</t>
  </si>
  <si>
    <t>TRANSPORTE OPERARIOS</t>
  </si>
  <si>
    <t>POLIZAS</t>
  </si>
  <si>
    <t>SUMA COSTO</t>
  </si>
  <si>
    <t>TRANSPORTE PROVINCIAS</t>
  </si>
  <si>
    <t>AIU</t>
  </si>
  <si>
    <t>COPIAS</t>
  </si>
  <si>
    <t>SIMPRE 1 DOLARES POR PERSONA</t>
  </si>
  <si>
    <t>FINANCIACIÓN</t>
  </si>
  <si>
    <t>MESES</t>
  </si>
  <si>
    <t>VALOR ANUAL</t>
  </si>
  <si>
    <t>CREDENCIALES</t>
  </si>
  <si>
    <t>SERVICIOS ESPECIALES</t>
  </si>
  <si>
    <t>Numero de veces</t>
  </si>
  <si>
    <t xml:space="preserve">CANTIDAD en </t>
  </si>
  <si>
    <t xml:space="preserve">VALOR </t>
  </si>
  <si>
    <t>al año</t>
  </si>
  <si>
    <t>M2  o unidades</t>
  </si>
  <si>
    <t>unitario</t>
  </si>
  <si>
    <t>anual</t>
  </si>
  <si>
    <t>LAVADO DE ALFOMBRAS</t>
  </si>
  <si>
    <t>LIMPIEZA DE PANELES</t>
  </si>
  <si>
    <t>LAVADO DE SILLAS</t>
  </si>
  <si>
    <t>CISTERNA AGUAS BLANCAS</t>
  </si>
  <si>
    <t>CISTERNA AGUAS NEGRAS</t>
  </si>
  <si>
    <t>FUMIGACIÒN</t>
  </si>
  <si>
    <t>DESRRATIZACIÒN</t>
  </si>
  <si>
    <t>JARDINERIA</t>
  </si>
  <si>
    <t>LIMPIEZA DE VIDRIOS</t>
  </si>
  <si>
    <t>VALOR TOTAL AL MES</t>
  </si>
  <si>
    <t>SANITIZASCION</t>
  </si>
  <si>
    <t>ESPECIAL</t>
  </si>
  <si>
    <t>No DIAS PARA TRANSPORTE</t>
  </si>
  <si>
    <t>TRANSPORTE</t>
  </si>
  <si>
    <t>Despido Intespestivo</t>
  </si>
  <si>
    <t>Valor Dia de 8 horas</t>
  </si>
  <si>
    <t>Valor medio dia</t>
  </si>
  <si>
    <t>Valor hora</t>
  </si>
  <si>
    <t>ALIMENTACIÓN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</si>
</sst>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\ #,##0.00"/>
    <numFmt numFmtId="165" formatCode="0.000"/>
    <numFmt numFmtId="166" formatCode="&quot;$&quot;\ #.##"/>
    <numFmt numFmtId="167" formatCode="&quot;$&quot;#,##0.00"/>
  </numFmts>
  <fonts count="23">
    <font>
      <sz val="10.0"/>
      <color rgb="FF000000"/>
      <name val="Calibri"/>
      <scheme val="minor"/>
    </font>
    <font>
      <sz val="10.0"/>
      <color theme="1"/>
      <name val="Arial"/>
    </font>
    <font>
      <sz val="10.0"/>
      <color rgb="FF17365D"/>
      <name val="Arial"/>
    </font>
    <font>
      <sz val="11.0"/>
      <color theme="1"/>
      <name val="Arial"/>
    </font>
    <font>
      <color theme="1"/>
      <name val="Calibri"/>
    </font>
    <font>
      <b/>
      <sz val="10.0"/>
      <color theme="1"/>
      <name val="Arial"/>
    </font>
    <font>
      <sz val="11.0"/>
      <color theme="1"/>
      <name val="Calibri"/>
    </font>
    <font>
      <b/>
      <sz val="10.0"/>
      <color rgb="FFFF0000"/>
      <name val="Arial"/>
    </font>
    <font>
      <sz val="10.0"/>
      <color rgb="FFFF0000"/>
      <name val="Arial"/>
    </font>
    <font>
      <b/>
      <sz val="10.0"/>
      <color rgb="FF17365D"/>
      <name val="Arial"/>
    </font>
    <font>
      <b/>
      <sz val="11.0"/>
      <color theme="1"/>
      <name val="Arial"/>
    </font>
    <font>
      <b/>
      <sz val="12.0"/>
      <color theme="1"/>
      <name val="Arial"/>
    </font>
    <font>
      <color theme="1"/>
      <name val="Arial"/>
    </font>
    <font>
      <b/>
      <sz val="12.0"/>
      <color rgb="FF17365D"/>
      <name val="Arial"/>
    </font>
    <font>
      <sz val="8.0"/>
      <color theme="1"/>
      <name val="Arial"/>
    </font>
    <font>
      <sz val="8.0"/>
      <color rgb="FF17365D"/>
      <name val="Arial"/>
    </font>
    <font>
      <b/>
      <sz val="10.0"/>
      <color rgb="FF0000D4"/>
      <name val="Arial"/>
    </font>
    <font>
      <sz val="10.0"/>
      <color rgb="FF000000"/>
      <name val="Arial"/>
    </font>
    <font>
      <b/>
      <sz val="12.0"/>
      <color rgb="FF0000D4"/>
      <name val="Arial"/>
    </font>
    <font>
      <b/>
      <sz val="8.0"/>
      <color theme="1"/>
      <name val="Arial"/>
    </font>
    <font>
      <b/>
      <sz val="10.0"/>
      <color rgb="FF993300"/>
      <name val="Arial"/>
    </font>
    <font>
      <sz val="8.0"/>
      <color rgb="FF3366FF"/>
      <name val="Arial"/>
    </font>
    <font>
      <b/>
      <sz val="10.0"/>
      <color rgb="FF00641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6600"/>
        <bgColor rgb="FFFF6600"/>
      </patternFill>
    </fill>
    <fill>
      <patternFill patternType="solid">
        <fgColor rgb="FFCCFFCC"/>
        <bgColor rgb="FFCCFFCC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CF305"/>
        <bgColor rgb="FFFCF305"/>
      </patternFill>
    </fill>
    <fill>
      <patternFill patternType="solid">
        <fgColor rgb="FFCCFF99"/>
        <bgColor rgb="FFCCFF99"/>
      </patternFill>
    </fill>
    <fill>
      <patternFill patternType="solid">
        <fgColor rgb="FFD6E3BC"/>
        <bgColor rgb="FFD6E3B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shrinkToFit="0" vertical="bottom" wrapText="1"/>
    </xf>
    <xf borderId="0" fillId="3" fontId="3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3" numFmtId="2" xfId="0" applyAlignment="1" applyFont="1" applyNumberForma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2" numFmtId="0" xfId="0" applyFont="1"/>
    <xf borderId="0" fillId="4" fontId="6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shrinkToFit="0" vertical="bottom" wrapText="1"/>
    </xf>
    <xf borderId="1" fillId="5" fontId="7" numFmtId="0" xfId="0" applyBorder="1" applyFill="1" applyFont="1"/>
    <xf borderId="0" fillId="0" fontId="8" numFmtId="0" xfId="0" applyFont="1"/>
    <xf borderId="0" fillId="0" fontId="7" numFmtId="0" xfId="0" applyFont="1"/>
    <xf borderId="0" fillId="0" fontId="9" numFmtId="0" xfId="0" applyAlignment="1" applyFont="1">
      <alignment horizontal="left"/>
    </xf>
    <xf borderId="0" fillId="6" fontId="10" numFmtId="10" xfId="0" applyAlignment="1" applyFill="1" applyFont="1" applyNumberFormat="1">
      <alignment horizontal="right" shrinkToFit="0" vertical="bottom" wrapText="1"/>
    </xf>
    <xf borderId="0" fillId="7" fontId="10" numFmtId="10" xfId="0" applyAlignment="1" applyFill="1" applyFont="1" applyNumberFormat="1">
      <alignment horizontal="center" shrinkToFit="0" vertical="bottom" wrapText="1"/>
    </xf>
    <xf borderId="0" fillId="0" fontId="1" numFmtId="9" xfId="0" applyFont="1" applyNumberFormat="1"/>
    <xf borderId="0" fillId="0" fontId="1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8" fontId="5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/>
    </xf>
    <xf borderId="0" fillId="0" fontId="12" numFmtId="164" xfId="0" applyAlignment="1" applyFont="1" applyNumberFormat="1">
      <alignment horizontal="center" vertical="bottom"/>
    </xf>
    <xf borderId="1" fillId="9" fontId="1" numFmtId="0" xfId="0" applyAlignment="1" applyBorder="1" applyFill="1" applyFont="1">
      <alignment horizontal="center"/>
    </xf>
    <xf borderId="0" fillId="0" fontId="1" numFmtId="164" xfId="0" applyAlignment="1" applyFont="1" applyNumberFormat="1">
      <alignment horizontal="center"/>
    </xf>
    <xf borderId="1" fillId="4" fontId="1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0" fillId="0" fontId="1" numFmtId="164" xfId="0" applyFont="1" applyNumberFormat="1"/>
    <xf borderId="0" fillId="0" fontId="13" numFmtId="0" xfId="0" applyAlignment="1" applyFont="1">
      <alignment horizontal="center"/>
    </xf>
    <xf borderId="0" fillId="0" fontId="11" numFmtId="9" xfId="0" applyAlignment="1" applyFont="1" applyNumberFormat="1">
      <alignment horizont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2" xfId="0" applyAlignment="1" applyFont="1" applyNumberFormat="1">
      <alignment horizontal="center"/>
    </xf>
    <xf borderId="0" fillId="0" fontId="15" numFmtId="2" xfId="0" applyAlignment="1" applyFont="1" applyNumberFormat="1">
      <alignment horizontal="center"/>
    </xf>
    <xf borderId="0" fillId="0" fontId="14" numFmtId="2" xfId="0" applyFont="1" applyNumberFormat="1"/>
    <xf borderId="0" fillId="0" fontId="1" numFmtId="2" xfId="0" applyFont="1" applyNumberFormat="1"/>
    <xf borderId="2" fillId="0" fontId="16" numFmtId="164" xfId="0" applyAlignment="1" applyBorder="1" applyFont="1" applyNumberFormat="1">
      <alignment horizontal="center"/>
    </xf>
    <xf borderId="0" fillId="0" fontId="15" numFmtId="165" xfId="0" applyAlignment="1" applyFont="1" applyNumberFormat="1">
      <alignment horizontal="center"/>
    </xf>
    <xf borderId="0" fillId="0" fontId="17" numFmtId="0" xfId="0" applyAlignment="1" applyFont="1">
      <alignment horizontal="right" shrinkToFit="0" wrapText="1"/>
    </xf>
    <xf borderId="0" fillId="0" fontId="17" numFmtId="0" xfId="0" applyAlignment="1" applyFont="1">
      <alignment shrinkToFit="0" wrapText="1"/>
    </xf>
    <xf borderId="0" fillId="0" fontId="11" numFmtId="0" xfId="0" applyFont="1"/>
    <xf borderId="0" fillId="0" fontId="13" numFmtId="0" xfId="0" applyFont="1"/>
    <xf borderId="0" fillId="0" fontId="18" numFmtId="2" xfId="0" applyFont="1" applyNumberFormat="1"/>
    <xf borderId="1" fillId="4" fontId="1" numFmtId="10" xfId="0" applyBorder="1" applyFont="1" applyNumberFormat="1"/>
    <xf borderId="0" fillId="0" fontId="19" numFmtId="0" xfId="0" applyAlignment="1" applyFont="1">
      <alignment horizontal="center"/>
    </xf>
    <xf borderId="0" fillId="0" fontId="15" numFmtId="0" xfId="0" applyFont="1"/>
    <xf borderId="0" fillId="0" fontId="11" numFmtId="2" xfId="0" applyFont="1" applyNumberFormat="1"/>
    <xf borderId="0" fillId="0" fontId="20" numFmtId="166" xfId="0" applyAlignment="1" applyFont="1" applyNumberFormat="1">
      <alignment horizontal="center"/>
    </xf>
    <xf borderId="1" fillId="10" fontId="14" numFmtId="0" xfId="0" applyBorder="1" applyFill="1" applyFont="1"/>
    <xf borderId="1" fillId="10" fontId="14" numFmtId="0" xfId="0" applyAlignment="1" applyBorder="1" applyFont="1">
      <alignment horizontal="center"/>
    </xf>
    <xf borderId="1" fillId="10" fontId="14" numFmtId="2" xfId="0" applyAlignment="1" applyBorder="1" applyFont="1" applyNumberFormat="1">
      <alignment horizontal="center"/>
    </xf>
    <xf borderId="1" fillId="10" fontId="21" numFmtId="2" xfId="0" applyAlignment="1" applyBorder="1" applyFont="1" applyNumberFormat="1">
      <alignment horizontal="center"/>
    </xf>
    <xf borderId="0" fillId="0" fontId="16" numFmtId="0" xfId="0" applyFont="1"/>
    <xf borderId="0" fillId="0" fontId="16" numFmtId="2" xfId="0" applyFont="1" applyNumberFormat="1"/>
    <xf borderId="0" fillId="0" fontId="22" numFmtId="0" xfId="0" applyFont="1"/>
    <xf borderId="0" fillId="0" fontId="20" numFmtId="0" xfId="0" applyFont="1"/>
    <xf borderId="0" fillId="0" fontId="15" numFmtId="4" xfId="0" applyAlignment="1" applyFont="1" applyNumberFormat="1">
      <alignment horizontal="right"/>
    </xf>
    <xf borderId="0" fillId="0" fontId="14" numFmtId="0" xfId="0" applyAlignment="1" applyFont="1">
      <alignment horizontal="left"/>
    </xf>
    <xf borderId="0" fillId="0" fontId="14" numFmtId="2" xfId="0" applyAlignment="1" applyFont="1" applyNumberFormat="1">
      <alignment horizontal="right"/>
    </xf>
    <xf borderId="0" fillId="0" fontId="15" numFmtId="4" xfId="0" applyAlignment="1" applyFont="1" applyNumberFormat="1">
      <alignment horizontal="right" vertical="center"/>
    </xf>
    <xf borderId="3" fillId="0" fontId="14" numFmtId="0" xfId="0" applyBorder="1" applyFont="1"/>
    <xf borderId="3" fillId="0" fontId="14" numFmtId="2" xfId="0" applyAlignment="1" applyBorder="1" applyFont="1" applyNumberFormat="1">
      <alignment horizontal="right"/>
    </xf>
    <xf borderId="1" fillId="11" fontId="1" numFmtId="0" xfId="0" applyBorder="1" applyFill="1" applyFont="1"/>
    <xf borderId="1" fillId="11" fontId="1" numFmtId="2" xfId="0" applyBorder="1" applyFont="1" applyNumberFormat="1"/>
    <xf borderId="0" fillId="0" fontId="9" numFmtId="0" xfId="0" applyAlignment="1" applyFont="1">
      <alignment horizontal="center"/>
    </xf>
    <xf borderId="0" fillId="0" fontId="16" numFmtId="164" xfId="0" applyFont="1" applyNumberFormat="1"/>
    <xf borderId="0" fillId="0" fontId="22" numFmtId="10" xfId="0" applyFont="1" applyNumberFormat="1"/>
    <xf borderId="3" fillId="12" fontId="14" numFmtId="0" xfId="0" applyBorder="1" applyFill="1" applyFont="1"/>
    <xf borderId="3" fillId="11" fontId="14" numFmtId="2" xfId="0" applyAlignment="1" applyBorder="1" applyFont="1" applyNumberFormat="1">
      <alignment horizontal="right"/>
    </xf>
    <xf borderId="1" fillId="4" fontId="9" numFmtId="10" xfId="0" applyAlignment="1" applyBorder="1" applyFont="1" applyNumberFormat="1">
      <alignment horizontal="center"/>
    </xf>
    <xf borderId="0" fillId="0" fontId="5" numFmtId="164" xfId="0" applyFont="1" applyNumberFormat="1"/>
    <xf borderId="1" fillId="8" fontId="20" numFmtId="164" xfId="0" applyBorder="1" applyFont="1" applyNumberFormat="1"/>
    <xf borderId="4" fillId="11" fontId="14" numFmtId="2" xfId="0" applyAlignment="1" applyBorder="1" applyFont="1" applyNumberFormat="1">
      <alignment horizontal="right"/>
    </xf>
    <xf borderId="0" fillId="0" fontId="22" numFmtId="167" xfId="0" applyFont="1" applyNumberFormat="1"/>
    <xf borderId="5" fillId="0" fontId="14" numFmtId="0" xfId="0" applyBorder="1" applyFont="1"/>
    <xf borderId="5" fillId="0" fontId="14" numFmtId="2" xfId="0" applyAlignment="1" applyBorder="1" applyFont="1" applyNumberFormat="1">
      <alignment horizontal="right"/>
    </xf>
    <xf borderId="6" fillId="13" fontId="21" numFmtId="0" xfId="0" applyBorder="1" applyFill="1" applyFont="1"/>
    <xf borderId="7" fillId="0" fontId="14" numFmtId="2" xfId="0" applyAlignment="1" applyBorder="1" applyFont="1" applyNumberFormat="1">
      <alignment horizontal="right"/>
    </xf>
    <xf borderId="1" fillId="12" fontId="14" numFmtId="2" xfId="0" applyAlignment="1" applyBorder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 shrinkToFit="0" wrapText="1"/>
    </xf>
    <xf borderId="1" fillId="13" fontId="5" numFmtId="0" xfId="0" applyAlignment="1" applyBorder="1" applyFont="1">
      <alignment horizontal="center"/>
    </xf>
    <xf borderId="1" fillId="11" fontId="1" numFmtId="0" xfId="0" applyAlignment="1" applyBorder="1" applyFont="1">
      <alignment horizontal="center"/>
    </xf>
    <xf borderId="1" fillId="4" fontId="1" numFmtId="20" xfId="0" applyAlignment="1" applyBorder="1" applyFont="1" applyNumberFormat="1">
      <alignment horizontal="center"/>
    </xf>
    <xf borderId="1" fillId="9" fontId="1" numFmtId="4" xfId="0" applyAlignment="1" applyBorder="1" applyFont="1" applyNumberFormat="1">
      <alignment horizontal="center"/>
    </xf>
    <xf borderId="0" fillId="0" fontId="1" numFmtId="10" xfId="0" applyFont="1" applyNumberFormat="1"/>
    <xf borderId="0" fillId="0" fontId="22" numFmtId="164" xfId="0" applyFont="1" applyNumberFormat="1"/>
    <xf borderId="0" fillId="0" fontId="1" numFmtId="167" xfId="0" applyFont="1" applyNumberForma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7.0"/>
    <col customWidth="1" min="3" max="3" width="14.71"/>
    <col customWidth="1" min="4" max="4" width="18.71"/>
    <col customWidth="1" min="5" max="5" width="12.71"/>
    <col customWidth="1" min="6" max="6" width="11.43"/>
    <col customWidth="1" min="7" max="7" width="20.43"/>
    <col customWidth="1" min="8" max="9" width="15.14"/>
    <col customWidth="1" min="10" max="10" width="12.43"/>
    <col customWidth="1" min="11" max="11" width="13.71"/>
    <col customWidth="1" min="12" max="12" width="17.43"/>
    <col customWidth="1" min="13" max="13" width="11.43"/>
    <col customWidth="1" min="14" max="14" width="16.29"/>
    <col customWidth="1" min="15" max="15" width="11.43"/>
    <col customWidth="1" min="16" max="16" width="9.0"/>
    <col customWidth="1" min="17" max="17" width="16.14"/>
    <col customWidth="1" min="18" max="97" width="11.43"/>
  </cols>
  <sheetData>
    <row r="1" ht="12.75" customHeight="1">
      <c r="A1" s="1"/>
      <c r="B1" s="1"/>
      <c r="C1" s="1"/>
      <c r="D1" s="2"/>
      <c r="E1" s="1"/>
      <c r="F1" s="1"/>
      <c r="G1" s="1"/>
      <c r="H1" s="3" t="s">
        <v>0</v>
      </c>
      <c r="I1" s="4" t="s">
        <v>1</v>
      </c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ht="12.75" customHeight="1">
      <c r="A2" s="1"/>
      <c r="B2" s="1"/>
      <c r="C2" s="1"/>
      <c r="D2" s="2" t="s">
        <v>2</v>
      </c>
      <c r="E2" s="1"/>
      <c r="F2" s="1"/>
      <c r="G2" s="1"/>
      <c r="H2" s="6">
        <v>2.01</v>
      </c>
      <c r="I2" s="5"/>
      <c r="J2" s="5"/>
      <c r="K2" s="5"/>
      <c r="L2" s="7" t="s">
        <v>0</v>
      </c>
      <c r="M2" s="7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ht="12.75" customHeight="1">
      <c r="A3" s="8" t="s">
        <v>3</v>
      </c>
      <c r="B3" s="1"/>
      <c r="C3" s="1"/>
      <c r="D3" s="9" t="s">
        <v>4</v>
      </c>
      <c r="E3" s="1"/>
      <c r="F3" s="1"/>
      <c r="G3" s="1"/>
      <c r="H3" s="6">
        <v>3.02</v>
      </c>
      <c r="I3" s="5"/>
      <c r="J3" s="10" t="s">
        <v>5</v>
      </c>
      <c r="K3" s="11"/>
      <c r="L3" s="12">
        <v>475.0</v>
      </c>
      <c r="M3" s="13">
        <f>L3/2</f>
        <v>237.5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ht="12.75" customHeight="1">
      <c r="A4" s="14"/>
      <c r="B4" s="15" t="s">
        <v>6</v>
      </c>
      <c r="C4" s="1"/>
      <c r="D4" s="9" t="s">
        <v>7</v>
      </c>
      <c r="E4" s="1"/>
      <c r="F4" s="1"/>
      <c r="G4" s="1"/>
      <c r="H4" s="6">
        <v>4.02</v>
      </c>
      <c r="I4" s="5"/>
      <c r="J4" s="10" t="s">
        <v>8</v>
      </c>
      <c r="K4" s="11"/>
      <c r="L4" s="12">
        <v>485.0</v>
      </c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ht="12.75" customHeight="1">
      <c r="A5" s="16"/>
      <c r="B5" s="1"/>
      <c r="C5" s="1"/>
      <c r="D5" s="9" t="s">
        <v>9</v>
      </c>
      <c r="E5" s="1"/>
      <c r="F5" s="1"/>
      <c r="G5" s="1"/>
      <c r="H5" s="6">
        <v>0.5</v>
      </c>
      <c r="I5" s="5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ht="12.75" customHeight="1">
      <c r="A6" s="1"/>
      <c r="B6" s="1"/>
      <c r="C6" s="1"/>
      <c r="D6" s="17" t="s">
        <v>10</v>
      </c>
      <c r="E6" s="1"/>
      <c r="F6" s="1"/>
      <c r="G6" s="1"/>
      <c r="H6" s="18">
        <v>0.455</v>
      </c>
      <c r="I6" s="19">
        <v>0.5066</v>
      </c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ht="12.75" customHeight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20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ht="12.75" customHeight="1">
      <c r="A8" s="21" t="s">
        <v>11</v>
      </c>
      <c r="B8" s="22" t="s">
        <v>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ht="12.75" customHeight="1">
      <c r="A9" s="1"/>
      <c r="B9" s="1"/>
      <c r="C9" s="23" t="s">
        <v>13</v>
      </c>
      <c r="D9" s="2" t="s">
        <v>14</v>
      </c>
      <c r="E9" s="23" t="s">
        <v>13</v>
      </c>
      <c r="F9" s="23" t="s">
        <v>15</v>
      </c>
      <c r="G9" s="23" t="s">
        <v>16</v>
      </c>
      <c r="H9" s="23" t="s">
        <v>17</v>
      </c>
      <c r="I9" s="23" t="s">
        <v>18</v>
      </c>
      <c r="J9" s="23" t="s">
        <v>19</v>
      </c>
      <c r="K9" s="23" t="s">
        <v>20</v>
      </c>
      <c r="L9" s="23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ht="12.75" customHeight="1">
      <c r="A10" s="22" t="s">
        <v>22</v>
      </c>
      <c r="B10" s="23" t="s">
        <v>23</v>
      </c>
      <c r="C10" s="23" t="s">
        <v>24</v>
      </c>
      <c r="D10" s="2" t="s">
        <v>25</v>
      </c>
      <c r="E10" s="23" t="s">
        <v>24</v>
      </c>
      <c r="F10" s="23" t="s">
        <v>26</v>
      </c>
      <c r="G10" s="23" t="s">
        <v>27</v>
      </c>
      <c r="H10" s="23" t="s">
        <v>27</v>
      </c>
      <c r="I10" s="23" t="s">
        <v>28</v>
      </c>
      <c r="J10" s="23" t="s">
        <v>29</v>
      </c>
      <c r="K10" s="23"/>
      <c r="L10" s="23" t="s">
        <v>30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ht="12.75" customHeight="1">
      <c r="A11" s="23"/>
      <c r="B11" s="1"/>
      <c r="C11" s="1"/>
      <c r="D11" s="2"/>
      <c r="E11" s="1"/>
      <c r="F11" s="1"/>
      <c r="G11" s="24">
        <v>4.3</v>
      </c>
      <c r="H11" s="1"/>
      <c r="I11" s="23" t="s">
        <v>31</v>
      </c>
      <c r="J11" s="24">
        <f>G11</f>
        <v>4.3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ht="12.75" customHeight="1">
      <c r="A12" s="23"/>
      <c r="B12" s="25"/>
      <c r="C12" s="23">
        <v>40.0</v>
      </c>
      <c r="D12" s="25"/>
      <c r="E12" s="23"/>
      <c r="F12" s="26">
        <v>487.64</v>
      </c>
      <c r="G12" s="27">
        <v>0.0</v>
      </c>
      <c r="H12" s="23">
        <f t="shared" ref="H12:H20" si="1">G12*$H$4*$G$11</f>
        <v>0</v>
      </c>
      <c r="I12" s="27"/>
      <c r="J12" s="28">
        <f t="shared" ref="J12:J20" si="2">I12*$H$5*$J$11</f>
        <v>0</v>
      </c>
      <c r="K12" s="29"/>
      <c r="L12" s="28">
        <f t="shared" ref="L12:L20" si="3">F12+H12+J12+K12</f>
        <v>487.64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ht="12.75" customHeight="1">
      <c r="A13" s="23"/>
      <c r="B13" s="25"/>
      <c r="C13" s="23">
        <v>40.0</v>
      </c>
      <c r="D13" s="25"/>
      <c r="E13" s="23"/>
      <c r="F13" s="26">
        <v>487.64</v>
      </c>
      <c r="G13" s="27">
        <f t="shared" ref="G13:G16" si="4">E13*H5</f>
        <v>0</v>
      </c>
      <c r="H13" s="23">
        <f t="shared" si="1"/>
        <v>0</v>
      </c>
      <c r="I13" s="27"/>
      <c r="J13" s="28">
        <f t="shared" si="2"/>
        <v>0</v>
      </c>
      <c r="K13" s="29"/>
      <c r="L13" s="28">
        <f t="shared" si="3"/>
        <v>487.64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ht="12.75" customHeight="1">
      <c r="A14" s="23"/>
      <c r="B14" s="25"/>
      <c r="C14" s="23">
        <v>40.0</v>
      </c>
      <c r="D14" s="30"/>
      <c r="E14" s="23"/>
      <c r="F14" s="26">
        <v>487.64</v>
      </c>
      <c r="G14" s="27">
        <f t="shared" si="4"/>
        <v>0</v>
      </c>
      <c r="H14" s="23">
        <f t="shared" si="1"/>
        <v>0</v>
      </c>
      <c r="I14" s="27"/>
      <c r="J14" s="28">
        <f t="shared" si="2"/>
        <v>0</v>
      </c>
      <c r="K14" s="29"/>
      <c r="L14" s="28">
        <f t="shared" si="3"/>
        <v>487.64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ht="12.75" customHeight="1">
      <c r="A15" s="23"/>
      <c r="B15" s="25"/>
      <c r="C15" s="23">
        <v>40.0</v>
      </c>
      <c r="D15" s="30"/>
      <c r="E15" s="23"/>
      <c r="F15" s="26">
        <v>487.64</v>
      </c>
      <c r="G15" s="27">
        <f t="shared" si="4"/>
        <v>0</v>
      </c>
      <c r="H15" s="23">
        <f t="shared" si="1"/>
        <v>0</v>
      </c>
      <c r="I15" s="27"/>
      <c r="J15" s="28">
        <f t="shared" si="2"/>
        <v>0</v>
      </c>
      <c r="K15" s="29"/>
      <c r="L15" s="28">
        <f t="shared" si="3"/>
        <v>487.64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ht="12.75" customHeight="1">
      <c r="A16" s="23"/>
      <c r="B16" s="25"/>
      <c r="C16" s="23">
        <v>40.0</v>
      </c>
      <c r="D16" s="30"/>
      <c r="E16" s="23"/>
      <c r="F16" s="26">
        <v>487.64</v>
      </c>
      <c r="G16" s="27">
        <f t="shared" si="4"/>
        <v>0</v>
      </c>
      <c r="H16" s="23">
        <f t="shared" si="1"/>
        <v>0</v>
      </c>
      <c r="I16" s="27"/>
      <c r="J16" s="28">
        <f t="shared" si="2"/>
        <v>0</v>
      </c>
      <c r="K16" s="29"/>
      <c r="L16" s="28">
        <f t="shared" si="3"/>
        <v>487.64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ht="12.75" customHeight="1">
      <c r="A17" s="23"/>
      <c r="B17" s="25"/>
      <c r="C17" s="23">
        <v>40.0</v>
      </c>
      <c r="D17" s="30"/>
      <c r="E17" s="23"/>
      <c r="F17" s="26">
        <v>487.64</v>
      </c>
      <c r="G17" s="27">
        <v>0.0</v>
      </c>
      <c r="H17" s="23">
        <f t="shared" si="1"/>
        <v>0</v>
      </c>
      <c r="I17" s="27"/>
      <c r="J17" s="28">
        <f t="shared" si="2"/>
        <v>0</v>
      </c>
      <c r="K17" s="29"/>
      <c r="L17" s="28">
        <f t="shared" si="3"/>
        <v>487.64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</row>
    <row r="18" ht="12.75" customHeight="1">
      <c r="A18" s="23"/>
      <c r="B18" s="25"/>
      <c r="C18" s="23">
        <v>40.0</v>
      </c>
      <c r="D18" s="30"/>
      <c r="E18" s="23"/>
      <c r="F18" s="26">
        <v>487.64</v>
      </c>
      <c r="G18" s="27">
        <v>0.0</v>
      </c>
      <c r="H18" s="23">
        <f t="shared" si="1"/>
        <v>0</v>
      </c>
      <c r="I18" s="27"/>
      <c r="J18" s="28">
        <f t="shared" si="2"/>
        <v>0</v>
      </c>
      <c r="K18" s="29"/>
      <c r="L18" s="28">
        <f t="shared" si="3"/>
        <v>487.64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 ht="12.75" customHeight="1">
      <c r="A19" s="23"/>
      <c r="B19" s="25"/>
      <c r="C19" s="23">
        <v>40.0</v>
      </c>
      <c r="D19" s="30"/>
      <c r="E19" s="23"/>
      <c r="F19" s="26">
        <v>487.64</v>
      </c>
      <c r="G19" s="27">
        <f t="shared" ref="G19:G20" si="5">E19*H11</f>
        <v>0</v>
      </c>
      <c r="H19" s="23">
        <f t="shared" si="1"/>
        <v>0</v>
      </c>
      <c r="I19" s="27"/>
      <c r="J19" s="28">
        <f t="shared" si="2"/>
        <v>0</v>
      </c>
      <c r="K19" s="29"/>
      <c r="L19" s="28">
        <f t="shared" si="3"/>
        <v>487.64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 ht="12.75" customHeight="1">
      <c r="A20" s="23"/>
      <c r="B20" s="25"/>
      <c r="C20" s="23">
        <v>40.0</v>
      </c>
      <c r="D20" s="30"/>
      <c r="E20" s="23"/>
      <c r="F20" s="26">
        <v>487.64</v>
      </c>
      <c r="G20" s="27">
        <f t="shared" si="5"/>
        <v>0</v>
      </c>
      <c r="H20" s="23">
        <f t="shared" si="1"/>
        <v>0</v>
      </c>
      <c r="I20" s="27"/>
      <c r="J20" s="28">
        <f t="shared" si="2"/>
        <v>0</v>
      </c>
      <c r="K20" s="29"/>
      <c r="L20" s="28">
        <f t="shared" si="3"/>
        <v>487.64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</row>
    <row r="21" ht="12.75" customHeight="1">
      <c r="A21" s="23">
        <f>SUM(A12:A20)</f>
        <v>0</v>
      </c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3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ht="12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</row>
    <row r="23" ht="12.75" customHeight="1">
      <c r="A23" s="21" t="s">
        <v>32</v>
      </c>
      <c r="B23" s="21" t="s">
        <v>33</v>
      </c>
      <c r="C23" s="21" t="s">
        <v>34</v>
      </c>
      <c r="D23" s="32" t="s">
        <v>35</v>
      </c>
      <c r="E23" s="21" t="s">
        <v>36</v>
      </c>
      <c r="F23" s="21"/>
      <c r="G23" s="23" t="s">
        <v>37</v>
      </c>
      <c r="H23" s="23" t="s">
        <v>13</v>
      </c>
      <c r="I23" s="23" t="s">
        <v>38</v>
      </c>
      <c r="J23" s="21"/>
      <c r="K23" s="33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</row>
    <row r="24" ht="12.75" customHeight="1">
      <c r="A24" s="34" t="s">
        <v>39</v>
      </c>
      <c r="B24" s="35" t="s">
        <v>40</v>
      </c>
      <c r="C24" s="36"/>
      <c r="D24" s="37">
        <v>2.47</v>
      </c>
      <c r="E24" s="38">
        <f t="shared" ref="E24:E67" si="6">D24*C24</f>
        <v>0</v>
      </c>
      <c r="F24" s="39"/>
      <c r="G24" s="23" t="s">
        <v>41</v>
      </c>
      <c r="H24" s="23" t="s">
        <v>15</v>
      </c>
      <c r="I24" s="23" t="s">
        <v>42</v>
      </c>
      <c r="J24" s="1"/>
      <c r="K24" s="1"/>
      <c r="L24" s="3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37">
        <v>2.93</v>
      </c>
      <c r="CR24" s="39">
        <f t="shared" ref="CR24:CR44" si="7">CQ24*5%</f>
        <v>0.1465</v>
      </c>
      <c r="CS24" s="39">
        <f t="shared" ref="CS24:CS44" si="8">CQ24+CR24</f>
        <v>3.0765</v>
      </c>
    </row>
    <row r="25" ht="12.75" customHeight="1">
      <c r="A25" s="34" t="s">
        <v>43</v>
      </c>
      <c r="B25" s="35" t="s">
        <v>44</v>
      </c>
      <c r="C25" s="36">
        <v>4.0</v>
      </c>
      <c r="D25" s="37">
        <v>1.65</v>
      </c>
      <c r="E25" s="38">
        <f t="shared" si="6"/>
        <v>6.6</v>
      </c>
      <c r="F25" s="39"/>
      <c r="G25" s="1"/>
      <c r="H25" s="1"/>
      <c r="I25" s="1"/>
      <c r="J25" s="1"/>
      <c r="K25" s="1"/>
      <c r="L25" s="3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37">
        <v>1.24</v>
      </c>
      <c r="CR25" s="39">
        <f t="shared" si="7"/>
        <v>0.062</v>
      </c>
      <c r="CS25" s="39">
        <f t="shared" si="8"/>
        <v>1.302</v>
      </c>
    </row>
    <row r="26" ht="12.75" customHeight="1">
      <c r="A26" s="34" t="s">
        <v>45</v>
      </c>
      <c r="B26" s="35" t="s">
        <v>44</v>
      </c>
      <c r="C26" s="36"/>
      <c r="D26" s="37">
        <v>1.55</v>
      </c>
      <c r="E26" s="38">
        <f t="shared" si="6"/>
        <v>0</v>
      </c>
      <c r="F26" s="39"/>
      <c r="G26" s="28">
        <f t="shared" ref="G26:G34" si="9">L12*$H$6</f>
        <v>221.8762</v>
      </c>
      <c r="H26" s="28">
        <f t="shared" ref="H26:H34" si="10">L12+G26</f>
        <v>709.5162</v>
      </c>
      <c r="I26" s="28">
        <f t="shared" ref="I26:I34" si="11">H26*A12</f>
        <v>0</v>
      </c>
      <c r="J26" s="1"/>
      <c r="K26" s="1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37">
        <v>1.66</v>
      </c>
      <c r="CR26" s="39">
        <f t="shared" si="7"/>
        <v>0.083</v>
      </c>
      <c r="CS26" s="39">
        <f t="shared" si="8"/>
        <v>1.743</v>
      </c>
    </row>
    <row r="27" ht="12.75" customHeight="1">
      <c r="A27" s="34" t="s">
        <v>46</v>
      </c>
      <c r="B27" s="35" t="s">
        <v>47</v>
      </c>
      <c r="C27" s="36"/>
      <c r="D27" s="37">
        <v>2.88</v>
      </c>
      <c r="E27" s="38">
        <f t="shared" si="6"/>
        <v>0</v>
      </c>
      <c r="F27" s="39"/>
      <c r="G27" s="28">
        <f t="shared" si="9"/>
        <v>221.8762</v>
      </c>
      <c r="H27" s="28">
        <f t="shared" si="10"/>
        <v>709.5162</v>
      </c>
      <c r="I27" s="28">
        <f t="shared" si="11"/>
        <v>0</v>
      </c>
      <c r="J27" s="1"/>
      <c r="K27" s="1"/>
      <c r="L27" s="3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37">
        <v>1.82</v>
      </c>
      <c r="CR27" s="39">
        <f t="shared" si="7"/>
        <v>0.091</v>
      </c>
      <c r="CS27" s="39">
        <f t="shared" si="8"/>
        <v>1.911</v>
      </c>
    </row>
    <row r="28" ht="12.75" customHeight="1">
      <c r="A28" s="34" t="s">
        <v>48</v>
      </c>
      <c r="B28" s="35" t="s">
        <v>47</v>
      </c>
      <c r="C28" s="36"/>
      <c r="D28" s="37">
        <v>0.89</v>
      </c>
      <c r="E28" s="38">
        <f t="shared" si="6"/>
        <v>0</v>
      </c>
      <c r="F28" s="39"/>
      <c r="G28" s="28">
        <f t="shared" si="9"/>
        <v>221.8762</v>
      </c>
      <c r="H28" s="28">
        <f t="shared" si="10"/>
        <v>709.5162</v>
      </c>
      <c r="I28" s="28">
        <f t="shared" si="11"/>
        <v>0</v>
      </c>
      <c r="J28" s="1"/>
      <c r="K28" s="1"/>
      <c r="L28" s="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37">
        <v>2.8</v>
      </c>
      <c r="CR28" s="39">
        <f t="shared" si="7"/>
        <v>0.14</v>
      </c>
      <c r="CS28" s="39">
        <f t="shared" si="8"/>
        <v>2.94</v>
      </c>
    </row>
    <row r="29" ht="12.75" customHeight="1">
      <c r="A29" s="34" t="s">
        <v>49</v>
      </c>
      <c r="B29" s="35" t="s">
        <v>47</v>
      </c>
      <c r="C29" s="36"/>
      <c r="D29" s="37">
        <v>4.31</v>
      </c>
      <c r="E29" s="38">
        <f t="shared" si="6"/>
        <v>0</v>
      </c>
      <c r="F29" s="39"/>
      <c r="G29" s="28">
        <f t="shared" si="9"/>
        <v>221.8762</v>
      </c>
      <c r="H29" s="28">
        <f t="shared" si="10"/>
        <v>709.5162</v>
      </c>
      <c r="I29" s="28">
        <f t="shared" si="11"/>
        <v>0</v>
      </c>
      <c r="J29" s="1"/>
      <c r="K29" s="1"/>
      <c r="L29" s="3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37">
        <v>1.05</v>
      </c>
      <c r="CR29" s="39">
        <f t="shared" si="7"/>
        <v>0.0525</v>
      </c>
      <c r="CS29" s="39">
        <f t="shared" si="8"/>
        <v>1.1025</v>
      </c>
    </row>
    <row r="30" ht="12.75" customHeight="1">
      <c r="A30" s="34" t="s">
        <v>50</v>
      </c>
      <c r="B30" s="35" t="s">
        <v>47</v>
      </c>
      <c r="C30" s="36"/>
      <c r="D30" s="37">
        <v>0.86</v>
      </c>
      <c r="E30" s="38">
        <f t="shared" si="6"/>
        <v>0</v>
      </c>
      <c r="F30" s="39"/>
      <c r="G30" s="28">
        <f t="shared" si="9"/>
        <v>221.8762</v>
      </c>
      <c r="H30" s="28">
        <f t="shared" si="10"/>
        <v>709.5162</v>
      </c>
      <c r="I30" s="28">
        <f t="shared" si="11"/>
        <v>0</v>
      </c>
      <c r="J30" s="1"/>
      <c r="K30" s="1"/>
      <c r="L30" s="3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37">
        <v>8.64</v>
      </c>
      <c r="CR30" s="39">
        <f t="shared" si="7"/>
        <v>0.432</v>
      </c>
      <c r="CS30" s="39">
        <f t="shared" si="8"/>
        <v>9.072</v>
      </c>
    </row>
    <row r="31" ht="12.75" customHeight="1">
      <c r="A31" s="34" t="s">
        <v>51</v>
      </c>
      <c r="B31" s="35" t="s">
        <v>47</v>
      </c>
      <c r="C31" s="36"/>
      <c r="D31" s="37">
        <v>2.27</v>
      </c>
      <c r="E31" s="38">
        <f t="shared" si="6"/>
        <v>0</v>
      </c>
      <c r="F31" s="39"/>
      <c r="G31" s="28">
        <f t="shared" si="9"/>
        <v>221.8762</v>
      </c>
      <c r="H31" s="28">
        <f t="shared" si="10"/>
        <v>709.5162</v>
      </c>
      <c r="I31" s="28">
        <f t="shared" si="11"/>
        <v>0</v>
      </c>
      <c r="J31" s="1"/>
      <c r="K31" s="1"/>
      <c r="L31" s="3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37">
        <v>1.3</v>
      </c>
      <c r="CR31" s="39">
        <f t="shared" si="7"/>
        <v>0.065</v>
      </c>
      <c r="CS31" s="39">
        <f t="shared" si="8"/>
        <v>1.365</v>
      </c>
    </row>
    <row r="32" ht="12.75" customHeight="1">
      <c r="A32" s="34" t="s">
        <v>52</v>
      </c>
      <c r="B32" s="35" t="s">
        <v>47</v>
      </c>
      <c r="C32" s="36"/>
      <c r="D32" s="37">
        <v>0.72</v>
      </c>
      <c r="E32" s="38">
        <f t="shared" si="6"/>
        <v>0</v>
      </c>
      <c r="F32" s="39"/>
      <c r="G32" s="28">
        <f t="shared" si="9"/>
        <v>221.8762</v>
      </c>
      <c r="H32" s="28">
        <f t="shared" si="10"/>
        <v>709.5162</v>
      </c>
      <c r="I32" s="28">
        <f t="shared" si="11"/>
        <v>0</v>
      </c>
      <c r="J32" s="1"/>
      <c r="K32" s="1"/>
      <c r="L32" s="3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37">
        <v>0.85</v>
      </c>
      <c r="CR32" s="39">
        <f t="shared" si="7"/>
        <v>0.0425</v>
      </c>
      <c r="CS32" s="39">
        <f t="shared" si="8"/>
        <v>0.8925</v>
      </c>
    </row>
    <row r="33" ht="12.75" customHeight="1">
      <c r="A33" s="34" t="s">
        <v>53</v>
      </c>
      <c r="B33" s="35" t="s">
        <v>47</v>
      </c>
      <c r="C33" s="36"/>
      <c r="D33" s="37">
        <v>1.34</v>
      </c>
      <c r="E33" s="38">
        <f t="shared" si="6"/>
        <v>0</v>
      </c>
      <c r="F33" s="39"/>
      <c r="G33" s="28">
        <f t="shared" si="9"/>
        <v>221.8762</v>
      </c>
      <c r="H33" s="28">
        <f t="shared" si="10"/>
        <v>709.5162</v>
      </c>
      <c r="I33" s="28">
        <f t="shared" si="11"/>
        <v>0</v>
      </c>
      <c r="J33" s="1"/>
      <c r="K33" s="1"/>
      <c r="L33" s="3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37">
        <v>2.35</v>
      </c>
      <c r="CR33" s="39">
        <f t="shared" si="7"/>
        <v>0.1175</v>
      </c>
      <c r="CS33" s="39">
        <f t="shared" si="8"/>
        <v>2.4675</v>
      </c>
    </row>
    <row r="34" ht="12.75" customHeight="1">
      <c r="A34" s="34" t="s">
        <v>54</v>
      </c>
      <c r="B34" s="35" t="s">
        <v>44</v>
      </c>
      <c r="C34" s="36"/>
      <c r="D34" s="37">
        <v>2.0</v>
      </c>
      <c r="E34" s="38">
        <f t="shared" si="6"/>
        <v>0</v>
      </c>
      <c r="F34" s="39"/>
      <c r="G34" s="28">
        <f t="shared" si="9"/>
        <v>221.8762</v>
      </c>
      <c r="H34" s="28">
        <f t="shared" si="10"/>
        <v>709.5162</v>
      </c>
      <c r="I34" s="28">
        <f t="shared" si="11"/>
        <v>0</v>
      </c>
      <c r="J34" s="1"/>
      <c r="K34" s="1"/>
      <c r="L34" s="3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37">
        <v>1.83</v>
      </c>
      <c r="CR34" s="39">
        <f t="shared" si="7"/>
        <v>0.0915</v>
      </c>
      <c r="CS34" s="39">
        <f t="shared" si="8"/>
        <v>1.9215</v>
      </c>
    </row>
    <row r="35" ht="12.75" customHeight="1">
      <c r="A35" s="34" t="s">
        <v>55</v>
      </c>
      <c r="B35" s="35" t="s">
        <v>47</v>
      </c>
      <c r="C35" s="36"/>
      <c r="D35" s="37">
        <v>1.5</v>
      </c>
      <c r="E35" s="38">
        <f t="shared" si="6"/>
        <v>0</v>
      </c>
      <c r="F35" s="39"/>
      <c r="G35" s="1"/>
      <c r="H35" s="1"/>
      <c r="I35" s="1"/>
      <c r="J35" s="1"/>
      <c r="K35" s="1"/>
      <c r="L35" s="3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37">
        <v>7.5</v>
      </c>
      <c r="CR35" s="39">
        <f t="shared" si="7"/>
        <v>0.375</v>
      </c>
      <c r="CS35" s="39">
        <f t="shared" si="8"/>
        <v>7.875</v>
      </c>
    </row>
    <row r="36" ht="12.75" customHeight="1">
      <c r="A36" s="34" t="s">
        <v>56</v>
      </c>
      <c r="B36" s="35" t="s">
        <v>44</v>
      </c>
      <c r="C36" s="36"/>
      <c r="D36" s="37">
        <v>0.61</v>
      </c>
      <c r="E36" s="38">
        <f t="shared" si="6"/>
        <v>0</v>
      </c>
      <c r="F36" s="39"/>
      <c r="G36" s="1" t="s">
        <v>57</v>
      </c>
      <c r="H36" s="1"/>
      <c r="I36" s="40">
        <f>SUM(I26:I34)</f>
        <v>0</v>
      </c>
      <c r="J36" s="1"/>
      <c r="K36" s="1"/>
      <c r="L36" s="3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37">
        <v>0.9</v>
      </c>
      <c r="CR36" s="39">
        <f t="shared" si="7"/>
        <v>0.045</v>
      </c>
      <c r="CS36" s="39">
        <f t="shared" si="8"/>
        <v>0.945</v>
      </c>
    </row>
    <row r="37" ht="12.75" customHeight="1">
      <c r="A37" s="34" t="s">
        <v>58</v>
      </c>
      <c r="B37" s="35" t="s">
        <v>59</v>
      </c>
      <c r="C37" s="36"/>
      <c r="D37" s="37">
        <v>0.7</v>
      </c>
      <c r="E37" s="38">
        <f t="shared" si="6"/>
        <v>0</v>
      </c>
      <c r="F37" s="39"/>
      <c r="G37" s="1"/>
      <c r="H37" s="1"/>
      <c r="I37" s="1"/>
      <c r="J37" s="1"/>
      <c r="K37" s="1"/>
      <c r="L37" s="3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37">
        <v>0.95</v>
      </c>
      <c r="CR37" s="39">
        <f t="shared" si="7"/>
        <v>0.0475</v>
      </c>
      <c r="CS37" s="39">
        <f t="shared" si="8"/>
        <v>0.9975</v>
      </c>
    </row>
    <row r="38" ht="12.75" customHeight="1">
      <c r="A38" s="34" t="s">
        <v>60</v>
      </c>
      <c r="B38" s="35" t="s">
        <v>47</v>
      </c>
      <c r="C38" s="36"/>
      <c r="D38" s="37">
        <v>1.14</v>
      </c>
      <c r="E38" s="38">
        <f t="shared" si="6"/>
        <v>0</v>
      </c>
      <c r="F38" s="39"/>
      <c r="G38" s="1"/>
      <c r="H38" s="1"/>
      <c r="I38" s="1"/>
      <c r="J38" s="1"/>
      <c r="K38" s="1"/>
      <c r="L38" s="3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37">
        <v>1.22</v>
      </c>
      <c r="CR38" s="39">
        <f t="shared" si="7"/>
        <v>0.061</v>
      </c>
      <c r="CS38" s="39">
        <f t="shared" si="8"/>
        <v>1.281</v>
      </c>
    </row>
    <row r="39" ht="12.75" customHeight="1">
      <c r="A39" s="34" t="s">
        <v>61</v>
      </c>
      <c r="B39" s="35" t="s">
        <v>47</v>
      </c>
      <c r="C39" s="36"/>
      <c r="D39" s="37">
        <v>1.14</v>
      </c>
      <c r="E39" s="38">
        <f t="shared" si="6"/>
        <v>0</v>
      </c>
      <c r="F39" s="39"/>
      <c r="G39" s="1"/>
      <c r="H39" s="1"/>
      <c r="I39" s="1"/>
      <c r="J39" s="1"/>
      <c r="K39" s="1"/>
      <c r="L39" s="3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37">
        <v>1.76</v>
      </c>
      <c r="CR39" s="39">
        <f t="shared" si="7"/>
        <v>0.088</v>
      </c>
      <c r="CS39" s="39">
        <f t="shared" si="8"/>
        <v>1.848</v>
      </c>
    </row>
    <row r="40" ht="12.75" customHeight="1">
      <c r="A40" s="34" t="s">
        <v>62</v>
      </c>
      <c r="B40" s="35" t="s">
        <v>47</v>
      </c>
      <c r="C40" s="36"/>
      <c r="D40" s="37">
        <v>1.1</v>
      </c>
      <c r="E40" s="38">
        <f t="shared" si="6"/>
        <v>0</v>
      </c>
      <c r="F40" s="39"/>
      <c r="G40" s="1"/>
      <c r="H40" s="1"/>
      <c r="I40" s="1"/>
      <c r="J40" s="1"/>
      <c r="K40" s="1"/>
      <c r="L40" s="3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37">
        <v>2.6</v>
      </c>
      <c r="CR40" s="39">
        <f t="shared" si="7"/>
        <v>0.13</v>
      </c>
      <c r="CS40" s="39">
        <f t="shared" si="8"/>
        <v>2.73</v>
      </c>
    </row>
    <row r="41" ht="12.75" customHeight="1">
      <c r="A41" s="34" t="s">
        <v>63</v>
      </c>
      <c r="B41" s="35" t="s">
        <v>47</v>
      </c>
      <c r="C41" s="36"/>
      <c r="D41" s="37">
        <v>0.83</v>
      </c>
      <c r="E41" s="38">
        <f t="shared" si="6"/>
        <v>0</v>
      </c>
      <c r="F41" s="39"/>
      <c r="G41" s="1"/>
      <c r="H41" s="1"/>
      <c r="I41" s="1"/>
      <c r="J41" s="1"/>
      <c r="K41" s="1"/>
      <c r="L41" s="3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37">
        <v>1.43</v>
      </c>
      <c r="CR41" s="39">
        <f t="shared" si="7"/>
        <v>0.0715</v>
      </c>
      <c r="CS41" s="39">
        <f t="shared" si="8"/>
        <v>1.5015</v>
      </c>
    </row>
    <row r="42" ht="12.75" customHeight="1">
      <c r="A42" s="34" t="s">
        <v>64</v>
      </c>
      <c r="B42" s="35" t="s">
        <v>47</v>
      </c>
      <c r="C42" s="36"/>
      <c r="D42" s="41">
        <v>0.051</v>
      </c>
      <c r="E42" s="38">
        <f t="shared" si="6"/>
        <v>0</v>
      </c>
      <c r="F42" s="39"/>
      <c r="G42" s="1"/>
      <c r="H42" s="1"/>
      <c r="I42" s="1"/>
      <c r="J42" s="1"/>
      <c r="K42" s="1"/>
      <c r="L42" s="3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37">
        <v>0.61</v>
      </c>
      <c r="CR42" s="39">
        <f t="shared" si="7"/>
        <v>0.0305</v>
      </c>
      <c r="CS42" s="39">
        <f t="shared" si="8"/>
        <v>0.6405</v>
      </c>
    </row>
    <row r="43" ht="12.75" customHeight="1">
      <c r="A43" s="34" t="s">
        <v>65</v>
      </c>
      <c r="B43" s="35" t="s">
        <v>47</v>
      </c>
      <c r="C43" s="36"/>
      <c r="D43" s="41">
        <v>0.058</v>
      </c>
      <c r="E43" s="38">
        <f t="shared" si="6"/>
        <v>0</v>
      </c>
      <c r="F43" s="39"/>
      <c r="G43" s="1"/>
      <c r="H43" s="1"/>
      <c r="I43" s="1"/>
      <c r="J43" s="1"/>
      <c r="K43" s="1"/>
      <c r="L43" s="3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37">
        <v>2.51</v>
      </c>
      <c r="CR43" s="39">
        <f t="shared" si="7"/>
        <v>0.1255</v>
      </c>
      <c r="CS43" s="39">
        <f t="shared" si="8"/>
        <v>2.6355</v>
      </c>
    </row>
    <row r="44" ht="12.75" customHeight="1">
      <c r="A44" s="34" t="s">
        <v>66</v>
      </c>
      <c r="B44" s="35" t="s">
        <v>47</v>
      </c>
      <c r="C44" s="36"/>
      <c r="D44" s="41">
        <v>0.097</v>
      </c>
      <c r="E44" s="38">
        <f t="shared" si="6"/>
        <v>0</v>
      </c>
      <c r="F44" s="39"/>
      <c r="G44" s="1"/>
      <c r="H44" s="1"/>
      <c r="I44" s="1"/>
      <c r="J44" s="1"/>
      <c r="K44" s="1"/>
      <c r="L44" s="3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37">
        <v>1.44</v>
      </c>
      <c r="CR44" s="39">
        <f t="shared" si="7"/>
        <v>0.072</v>
      </c>
      <c r="CS44" s="39">
        <f t="shared" si="8"/>
        <v>1.512</v>
      </c>
    </row>
    <row r="45" ht="12.75" customHeight="1">
      <c r="A45" s="34" t="s">
        <v>67</v>
      </c>
      <c r="B45" s="35" t="s">
        <v>47</v>
      </c>
      <c r="C45" s="36"/>
      <c r="D45" s="41">
        <v>0.147</v>
      </c>
      <c r="E45" s="38">
        <f t="shared" si="6"/>
        <v>0</v>
      </c>
      <c r="F45" s="39"/>
      <c r="G45" s="1"/>
      <c r="H45" s="1"/>
      <c r="I45" s="1"/>
      <c r="J45" s="1"/>
      <c r="K45" s="1"/>
      <c r="L45" s="3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36"/>
      <c r="CR45" s="39"/>
      <c r="CS45" s="39"/>
    </row>
    <row r="46" ht="12.75" customHeight="1">
      <c r="A46" s="34" t="s">
        <v>68</v>
      </c>
      <c r="B46" s="35" t="s">
        <v>47</v>
      </c>
      <c r="C46" s="36"/>
      <c r="D46" s="41">
        <v>0.475</v>
      </c>
      <c r="E46" s="38">
        <f t="shared" si="6"/>
        <v>0</v>
      </c>
      <c r="F46" s="39"/>
      <c r="G46" s="1"/>
      <c r="H46" s="1"/>
      <c r="I46" s="1"/>
      <c r="J46" s="1"/>
      <c r="K46" s="1"/>
      <c r="L46" s="3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36">
        <v>1.57</v>
      </c>
      <c r="CR46" s="39">
        <f t="shared" ref="CR46:CR51" si="12">CQ46*5%</f>
        <v>0.0785</v>
      </c>
      <c r="CS46" s="39">
        <f t="shared" ref="CS46:CS51" si="13">CQ46+CR46</f>
        <v>1.6485</v>
      </c>
    </row>
    <row r="47" ht="12.75" customHeight="1">
      <c r="A47" s="34" t="s">
        <v>69</v>
      </c>
      <c r="B47" s="35" t="s">
        <v>47</v>
      </c>
      <c r="C47" s="36"/>
      <c r="D47" s="41">
        <v>0.708</v>
      </c>
      <c r="E47" s="38">
        <f t="shared" si="6"/>
        <v>0</v>
      </c>
      <c r="F47" s="39"/>
      <c r="G47" s="1"/>
      <c r="H47" s="1"/>
      <c r="I47" s="1"/>
      <c r="J47" s="1"/>
      <c r="K47" s="1"/>
      <c r="L47" s="3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37">
        <v>1.08</v>
      </c>
      <c r="CR47" s="39">
        <f t="shared" si="12"/>
        <v>0.054</v>
      </c>
      <c r="CS47" s="39">
        <f t="shared" si="13"/>
        <v>1.134</v>
      </c>
    </row>
    <row r="48" ht="12.75" customHeight="1">
      <c r="A48" s="34" t="s">
        <v>70</v>
      </c>
      <c r="B48" s="35" t="s">
        <v>47</v>
      </c>
      <c r="C48" s="36"/>
      <c r="D48" s="41">
        <v>0.119</v>
      </c>
      <c r="E48" s="38">
        <f t="shared" si="6"/>
        <v>0</v>
      </c>
      <c r="F48" s="39"/>
      <c r="G48" s="1"/>
      <c r="H48" s="1"/>
      <c r="I48" s="1"/>
      <c r="J48" s="1"/>
      <c r="K48" s="1"/>
      <c r="L48" s="3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37">
        <v>1.95</v>
      </c>
      <c r="CR48" s="39">
        <f t="shared" si="12"/>
        <v>0.0975</v>
      </c>
      <c r="CS48" s="39">
        <f t="shared" si="13"/>
        <v>2.0475</v>
      </c>
    </row>
    <row r="49" ht="12.75" customHeight="1">
      <c r="A49" s="34" t="s">
        <v>71</v>
      </c>
      <c r="B49" s="35" t="s">
        <v>47</v>
      </c>
      <c r="C49" s="36"/>
      <c r="D49" s="41">
        <v>0.18</v>
      </c>
      <c r="E49" s="38">
        <f t="shared" si="6"/>
        <v>0</v>
      </c>
      <c r="F49" s="39"/>
      <c r="G49" s="1"/>
      <c r="H49" s="1"/>
      <c r="I49" s="1"/>
      <c r="J49" s="1"/>
      <c r="K49" s="1"/>
      <c r="L49" s="3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37">
        <v>1.95</v>
      </c>
      <c r="CR49" s="39">
        <f t="shared" si="12"/>
        <v>0.0975</v>
      </c>
      <c r="CS49" s="39">
        <f t="shared" si="13"/>
        <v>2.0475</v>
      </c>
    </row>
    <row r="50" ht="12.75" customHeight="1">
      <c r="A50" s="34" t="s">
        <v>72</v>
      </c>
      <c r="B50" s="35" t="s">
        <v>47</v>
      </c>
      <c r="C50" s="36"/>
      <c r="D50" s="37">
        <v>0.562</v>
      </c>
      <c r="E50" s="38">
        <f t="shared" si="6"/>
        <v>0</v>
      </c>
      <c r="F50" s="39"/>
      <c r="G50" s="1"/>
      <c r="H50" s="1"/>
      <c r="I50" s="1"/>
      <c r="J50" s="1"/>
      <c r="K50" s="1"/>
      <c r="L50" s="3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41">
        <v>0.5</v>
      </c>
      <c r="CR50" s="39">
        <f t="shared" si="12"/>
        <v>0.025</v>
      </c>
      <c r="CS50" s="39">
        <f t="shared" si="13"/>
        <v>0.525</v>
      </c>
    </row>
    <row r="51" ht="12.75" customHeight="1">
      <c r="A51" s="34" t="s">
        <v>73</v>
      </c>
      <c r="B51" s="35" t="s">
        <v>74</v>
      </c>
      <c r="C51" s="36"/>
      <c r="D51" s="37">
        <v>0.9</v>
      </c>
      <c r="E51" s="38">
        <f t="shared" si="6"/>
        <v>0</v>
      </c>
      <c r="F51" s="39"/>
      <c r="G51" s="1"/>
      <c r="H51" s="1"/>
      <c r="I51" s="1"/>
      <c r="J51" s="1"/>
      <c r="K51" s="1"/>
      <c r="L51" s="3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41">
        <v>0.062</v>
      </c>
      <c r="CR51" s="39">
        <f t="shared" si="12"/>
        <v>0.0031</v>
      </c>
      <c r="CS51" s="39">
        <f t="shared" si="13"/>
        <v>0.0651</v>
      </c>
    </row>
    <row r="52" ht="12.75" customHeight="1">
      <c r="A52" s="34" t="s">
        <v>75</v>
      </c>
      <c r="B52" s="35" t="s">
        <v>47</v>
      </c>
      <c r="C52" s="36"/>
      <c r="D52" s="37">
        <v>0.75</v>
      </c>
      <c r="E52" s="38">
        <f t="shared" si="6"/>
        <v>0</v>
      </c>
      <c r="F52" s="39"/>
      <c r="G52" s="1"/>
      <c r="H52" s="1"/>
      <c r="I52" s="1"/>
      <c r="J52" s="1"/>
      <c r="K52" s="1"/>
      <c r="L52" s="3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41"/>
      <c r="CR52" s="39"/>
      <c r="CS52" s="39"/>
    </row>
    <row r="53" ht="12.75" customHeight="1">
      <c r="A53" s="34" t="s">
        <v>76</v>
      </c>
      <c r="B53" s="35" t="s">
        <v>77</v>
      </c>
      <c r="C53" s="36"/>
      <c r="D53" s="37">
        <v>3.8</v>
      </c>
      <c r="E53" s="38">
        <f t="shared" si="6"/>
        <v>0</v>
      </c>
      <c r="F53" s="39"/>
      <c r="G53" s="1"/>
      <c r="H53" s="1"/>
      <c r="I53" s="1"/>
      <c r="J53" s="1"/>
      <c r="K53" s="1"/>
      <c r="L53" s="3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41">
        <v>0.103</v>
      </c>
      <c r="CR53" s="39">
        <f t="shared" ref="CR53:CR68" si="14">CQ53*5%</f>
        <v>0.00515</v>
      </c>
      <c r="CS53" s="39">
        <f t="shared" ref="CS53:CS68" si="15">CQ53+CR53</f>
        <v>0.10815</v>
      </c>
    </row>
    <row r="54" ht="12.75" customHeight="1">
      <c r="A54" s="34" t="s">
        <v>78</v>
      </c>
      <c r="B54" s="35" t="s">
        <v>79</v>
      </c>
      <c r="C54" s="36"/>
      <c r="D54" s="37">
        <v>1.27</v>
      </c>
      <c r="E54" s="38">
        <f t="shared" si="6"/>
        <v>0</v>
      </c>
      <c r="F54" s="39"/>
      <c r="G54" s="1"/>
      <c r="H54" s="1"/>
      <c r="I54" s="1"/>
      <c r="J54" s="1"/>
      <c r="K54" s="1"/>
      <c r="L54" s="3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41">
        <v>0.078</v>
      </c>
      <c r="CR54" s="39">
        <f t="shared" si="14"/>
        <v>0.0039</v>
      </c>
      <c r="CS54" s="39">
        <f t="shared" si="15"/>
        <v>0.0819</v>
      </c>
    </row>
    <row r="55" ht="12.75" customHeight="1">
      <c r="A55" s="34" t="s">
        <v>80</v>
      </c>
      <c r="B55" s="35" t="s">
        <v>47</v>
      </c>
      <c r="C55" s="36"/>
      <c r="D55" s="41">
        <v>0.035</v>
      </c>
      <c r="E55" s="38">
        <f t="shared" si="6"/>
        <v>0</v>
      </c>
      <c r="F55" s="39"/>
      <c r="G55" s="1"/>
      <c r="H55" s="1"/>
      <c r="I55" s="1"/>
      <c r="J55" s="1"/>
      <c r="K55" s="1"/>
      <c r="L55" s="3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41">
        <v>0.19</v>
      </c>
      <c r="CR55" s="39">
        <f t="shared" si="14"/>
        <v>0.0095</v>
      </c>
      <c r="CS55" s="39">
        <f t="shared" si="15"/>
        <v>0.1995</v>
      </c>
    </row>
    <row r="56" ht="12.75" customHeight="1">
      <c r="A56" s="34" t="s">
        <v>81</v>
      </c>
      <c r="B56" s="35" t="s">
        <v>44</v>
      </c>
      <c r="C56" s="36"/>
      <c r="D56" s="37">
        <v>0.7</v>
      </c>
      <c r="E56" s="38">
        <f t="shared" si="6"/>
        <v>0</v>
      </c>
      <c r="F56" s="39"/>
      <c r="G56" s="1"/>
      <c r="H56" s="1"/>
      <c r="I56" s="1"/>
      <c r="J56" s="1"/>
      <c r="K56" s="1"/>
      <c r="L56" s="3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41">
        <v>0.296</v>
      </c>
      <c r="CR56" s="39">
        <f t="shared" si="14"/>
        <v>0.0148</v>
      </c>
      <c r="CS56" s="39">
        <f t="shared" si="15"/>
        <v>0.3108</v>
      </c>
    </row>
    <row r="57" ht="12.75" customHeight="1">
      <c r="A57" s="34" t="s">
        <v>82</v>
      </c>
      <c r="B57" s="35" t="s">
        <v>47</v>
      </c>
      <c r="C57" s="36"/>
      <c r="D57" s="37">
        <v>2.97</v>
      </c>
      <c r="E57" s="38">
        <f t="shared" si="6"/>
        <v>0</v>
      </c>
      <c r="F57" s="39"/>
      <c r="G57" s="1"/>
      <c r="H57" s="1"/>
      <c r="I57" s="1"/>
      <c r="J57" s="1"/>
      <c r="K57" s="1"/>
      <c r="L57" s="3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41">
        <v>0.338</v>
      </c>
      <c r="CR57" s="39">
        <f t="shared" si="14"/>
        <v>0.0169</v>
      </c>
      <c r="CS57" s="39">
        <f t="shared" si="15"/>
        <v>0.3549</v>
      </c>
    </row>
    <row r="58" ht="12.75" customHeight="1">
      <c r="A58" s="34" t="s">
        <v>83</v>
      </c>
      <c r="B58" s="35" t="s">
        <v>47</v>
      </c>
      <c r="C58" s="36"/>
      <c r="D58" s="37">
        <v>13.1</v>
      </c>
      <c r="E58" s="38">
        <f t="shared" si="6"/>
        <v>0</v>
      </c>
      <c r="F58" s="39"/>
      <c r="G58" s="1"/>
      <c r="H58" s="1"/>
      <c r="I58" s="1"/>
      <c r="J58" s="1"/>
      <c r="K58" s="1"/>
      <c r="L58" s="3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41">
        <v>1.8</v>
      </c>
      <c r="CR58" s="39">
        <f t="shared" si="14"/>
        <v>0.09</v>
      </c>
      <c r="CS58" s="39">
        <f t="shared" si="15"/>
        <v>1.89</v>
      </c>
    </row>
    <row r="59" ht="12.75" customHeight="1">
      <c r="A59" s="34" t="s">
        <v>84</v>
      </c>
      <c r="B59" s="35" t="s">
        <v>47</v>
      </c>
      <c r="C59" s="36"/>
      <c r="D59" s="37">
        <v>6.49</v>
      </c>
      <c r="E59" s="38">
        <f t="shared" si="6"/>
        <v>0</v>
      </c>
      <c r="F59" s="39"/>
      <c r="G59" s="1"/>
      <c r="H59" s="1"/>
      <c r="I59" s="1"/>
      <c r="J59" s="1"/>
      <c r="K59" s="1"/>
      <c r="L59" s="3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37">
        <v>2.7</v>
      </c>
      <c r="CR59" s="39">
        <f t="shared" si="14"/>
        <v>0.135</v>
      </c>
      <c r="CS59" s="39">
        <f t="shared" si="15"/>
        <v>2.835</v>
      </c>
    </row>
    <row r="60" ht="12.75" customHeight="1">
      <c r="A60" s="34" t="s">
        <v>85</v>
      </c>
      <c r="B60" s="35" t="s">
        <v>47</v>
      </c>
      <c r="C60" s="36"/>
      <c r="D60" s="37">
        <v>8.4</v>
      </c>
      <c r="E60" s="38">
        <f t="shared" si="6"/>
        <v>0</v>
      </c>
      <c r="F60" s="39"/>
      <c r="G60" s="1"/>
      <c r="H60" s="1"/>
      <c r="I60" s="1"/>
      <c r="J60" s="1"/>
      <c r="K60" s="1"/>
      <c r="L60" s="3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37">
        <v>1.63</v>
      </c>
      <c r="CR60" s="39">
        <f t="shared" si="14"/>
        <v>0.0815</v>
      </c>
      <c r="CS60" s="39">
        <f t="shared" si="15"/>
        <v>1.7115</v>
      </c>
    </row>
    <row r="61" ht="12.75" customHeight="1">
      <c r="A61" s="34" t="s">
        <v>86</v>
      </c>
      <c r="B61" s="35" t="s">
        <v>47</v>
      </c>
      <c r="C61" s="36"/>
      <c r="D61" s="37">
        <v>0.98</v>
      </c>
      <c r="E61" s="38">
        <f t="shared" si="6"/>
        <v>0</v>
      </c>
      <c r="F61" s="39"/>
      <c r="G61" s="1"/>
      <c r="H61" s="1"/>
      <c r="I61" s="1"/>
      <c r="J61" s="1"/>
      <c r="K61" s="1"/>
      <c r="L61" s="3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37">
        <v>4.38</v>
      </c>
      <c r="CR61" s="39">
        <f t="shared" si="14"/>
        <v>0.219</v>
      </c>
      <c r="CS61" s="39">
        <f t="shared" si="15"/>
        <v>4.599</v>
      </c>
    </row>
    <row r="62" ht="12.75" customHeight="1">
      <c r="A62" s="34" t="s">
        <v>87</v>
      </c>
      <c r="B62" s="35" t="s">
        <v>47</v>
      </c>
      <c r="C62" s="36"/>
      <c r="D62" s="37">
        <v>1.0</v>
      </c>
      <c r="E62" s="38">
        <f t="shared" si="6"/>
        <v>0</v>
      </c>
      <c r="F62" s="39"/>
      <c r="G62" s="1"/>
      <c r="H62" s="1"/>
      <c r="I62" s="1"/>
      <c r="J62" s="1"/>
      <c r="K62" s="1"/>
      <c r="L62" s="3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37">
        <v>0.11</v>
      </c>
      <c r="CR62" s="39">
        <f t="shared" si="14"/>
        <v>0.0055</v>
      </c>
      <c r="CS62" s="39">
        <f t="shared" si="15"/>
        <v>0.1155</v>
      </c>
    </row>
    <row r="63" ht="12.75" customHeight="1">
      <c r="A63" s="34" t="s">
        <v>88</v>
      </c>
      <c r="B63" s="35" t="s">
        <v>47</v>
      </c>
      <c r="C63" s="36"/>
      <c r="D63" s="37">
        <v>1.48</v>
      </c>
      <c r="E63" s="38">
        <f t="shared" si="6"/>
        <v>0</v>
      </c>
      <c r="F63" s="39"/>
      <c r="G63" s="1"/>
      <c r="H63" s="1"/>
      <c r="I63" s="1"/>
      <c r="J63" s="1"/>
      <c r="K63" s="1"/>
      <c r="L63" s="3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37">
        <v>0.8</v>
      </c>
      <c r="CR63" s="39">
        <f t="shared" si="14"/>
        <v>0.04</v>
      </c>
      <c r="CS63" s="39">
        <f t="shared" si="15"/>
        <v>0.84</v>
      </c>
    </row>
    <row r="64" ht="12.75" customHeight="1">
      <c r="A64" s="34" t="s">
        <v>89</v>
      </c>
      <c r="B64" s="35" t="s">
        <v>90</v>
      </c>
      <c r="C64" s="36"/>
      <c r="D64" s="37">
        <v>1.0</v>
      </c>
      <c r="E64" s="38">
        <f t="shared" si="6"/>
        <v>0</v>
      </c>
      <c r="F64" s="39"/>
      <c r="G64" s="1"/>
      <c r="H64" s="1"/>
      <c r="I64" s="1"/>
      <c r="J64" s="1"/>
      <c r="K64" s="1"/>
      <c r="L64" s="3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37">
        <v>18.55</v>
      </c>
      <c r="CR64" s="39">
        <f t="shared" si="14"/>
        <v>0.9275</v>
      </c>
      <c r="CS64" s="39">
        <f t="shared" si="15"/>
        <v>19.4775</v>
      </c>
    </row>
    <row r="65" ht="12.75" customHeight="1">
      <c r="A65" s="34" t="s">
        <v>91</v>
      </c>
      <c r="B65" s="35" t="s">
        <v>92</v>
      </c>
      <c r="C65" s="36"/>
      <c r="D65" s="37">
        <v>6.0</v>
      </c>
      <c r="E65" s="38">
        <f t="shared" si="6"/>
        <v>0</v>
      </c>
      <c r="F65" s="39"/>
      <c r="G65" s="1"/>
      <c r="H65" s="1"/>
      <c r="I65" s="1"/>
      <c r="J65" s="1"/>
      <c r="K65" s="1"/>
      <c r="L65" s="3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37">
        <v>7.6</v>
      </c>
      <c r="CR65" s="39">
        <f t="shared" si="14"/>
        <v>0.38</v>
      </c>
      <c r="CS65" s="39">
        <f t="shared" si="15"/>
        <v>7.98</v>
      </c>
    </row>
    <row r="66" ht="12.75" customHeight="1">
      <c r="A66" s="34" t="s">
        <v>93</v>
      </c>
      <c r="B66" s="35" t="s">
        <v>47</v>
      </c>
      <c r="C66" s="36"/>
      <c r="D66" s="37">
        <v>0.044</v>
      </c>
      <c r="E66" s="38">
        <f t="shared" si="6"/>
        <v>0</v>
      </c>
      <c r="F66" s="39"/>
      <c r="G66" s="1"/>
      <c r="H66" s="1"/>
      <c r="I66" s="1"/>
      <c r="J66" s="1"/>
      <c r="K66" s="1"/>
      <c r="L66" s="3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37">
        <v>8.55</v>
      </c>
      <c r="CR66" s="39">
        <f t="shared" si="14"/>
        <v>0.4275</v>
      </c>
      <c r="CS66" s="39">
        <f t="shared" si="15"/>
        <v>8.9775</v>
      </c>
    </row>
    <row r="67" ht="12.75" customHeight="1">
      <c r="A67" s="34" t="s">
        <v>94</v>
      </c>
      <c r="B67" s="35" t="s">
        <v>95</v>
      </c>
      <c r="C67" s="36"/>
      <c r="D67" s="37">
        <v>2.33</v>
      </c>
      <c r="E67" s="38">
        <f t="shared" si="6"/>
        <v>0</v>
      </c>
      <c r="F67" s="39"/>
      <c r="G67" s="42"/>
      <c r="H67" s="43"/>
      <c r="I67" s="1"/>
      <c r="J67" s="1"/>
      <c r="K67" s="1"/>
      <c r="L67" s="3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37">
        <v>1.53</v>
      </c>
      <c r="CR67" s="39">
        <f t="shared" si="14"/>
        <v>0.0765</v>
      </c>
      <c r="CS67" s="39">
        <f t="shared" si="15"/>
        <v>1.6065</v>
      </c>
    </row>
    <row r="68" ht="12.75" customHeight="1">
      <c r="A68" s="44" t="s">
        <v>21</v>
      </c>
      <c r="B68" s="21"/>
      <c r="C68" s="21"/>
      <c r="D68" s="45"/>
      <c r="E68" s="46">
        <f>SUM(E24:E67)</f>
        <v>6.6</v>
      </c>
      <c r="F68" s="47">
        <v>0.05</v>
      </c>
      <c r="G68" s="1"/>
      <c r="H68" s="1"/>
      <c r="I68" s="1"/>
      <c r="J68" s="1"/>
      <c r="K68" s="1"/>
      <c r="L68" s="3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36">
        <v>1.44</v>
      </c>
      <c r="CR68" s="39">
        <f t="shared" si="14"/>
        <v>0.072</v>
      </c>
      <c r="CS68" s="39">
        <f t="shared" si="15"/>
        <v>1.512</v>
      </c>
    </row>
    <row r="69" ht="12.75" customHeight="1">
      <c r="A69" s="48"/>
      <c r="B69" s="35"/>
      <c r="C69" s="23"/>
      <c r="D69" s="49"/>
      <c r="E69" s="1"/>
      <c r="F69" s="44">
        <f>E68*F68</f>
        <v>0.33</v>
      </c>
      <c r="G69" s="39">
        <f>F69+E68</f>
        <v>6.93</v>
      </c>
      <c r="H69" s="1"/>
      <c r="I69" s="1"/>
      <c r="J69" s="1"/>
      <c r="K69" s="1"/>
      <c r="L69" s="3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37"/>
      <c r="CR69" s="39"/>
      <c r="CS69" s="39"/>
    </row>
    <row r="70" ht="12.75" customHeight="1">
      <c r="A70" s="1"/>
      <c r="B70" s="1"/>
      <c r="C70" s="23"/>
      <c r="D70" s="9"/>
      <c r="E70" s="1"/>
      <c r="F70" s="1"/>
      <c r="G70" s="1"/>
      <c r="H70" s="1"/>
      <c r="I70" s="1"/>
      <c r="J70" s="1"/>
      <c r="K70" s="1"/>
      <c r="L70" s="3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37">
        <v>2.37</v>
      </c>
      <c r="CR70" s="39">
        <f t="shared" ref="CR70:CR73" si="16">CQ70*5%</f>
        <v>0.1185</v>
      </c>
      <c r="CS70" s="39">
        <f t="shared" ref="CS70:CS73" si="17">CQ70+CR70</f>
        <v>2.4885</v>
      </c>
    </row>
    <row r="71" ht="12.75" customHeight="1">
      <c r="A71" s="44" t="s">
        <v>96</v>
      </c>
      <c r="B71" s="21" t="s">
        <v>33</v>
      </c>
      <c r="C71" s="21" t="s">
        <v>34</v>
      </c>
      <c r="D71" s="32" t="s">
        <v>35</v>
      </c>
      <c r="E71" s="21" t="s">
        <v>36</v>
      </c>
      <c r="F71" s="1"/>
      <c r="G71" s="1"/>
      <c r="H71" s="1"/>
      <c r="I71" s="1"/>
      <c r="J71" s="1"/>
      <c r="K71" s="1"/>
      <c r="L71" s="3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37">
        <v>1.89</v>
      </c>
      <c r="CR71" s="39">
        <f t="shared" si="16"/>
        <v>0.0945</v>
      </c>
      <c r="CS71" s="39">
        <f t="shared" si="17"/>
        <v>1.9845</v>
      </c>
    </row>
    <row r="72" ht="12.75" customHeight="1">
      <c r="A72" s="34" t="s">
        <v>49</v>
      </c>
      <c r="B72" s="35" t="s">
        <v>47</v>
      </c>
      <c r="C72" s="36"/>
      <c r="D72" s="37">
        <f t="shared" ref="D72:D76" si="18">D29</f>
        <v>4.31</v>
      </c>
      <c r="E72" s="38">
        <f t="shared" ref="E72:E86" si="19">D72*C72/14</f>
        <v>0</v>
      </c>
      <c r="F72" s="1"/>
      <c r="G72" s="1"/>
      <c r="H72" s="1"/>
      <c r="I72" s="1"/>
      <c r="J72" s="1"/>
      <c r="K72" s="1"/>
      <c r="L72" s="3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37">
        <v>2.3</v>
      </c>
      <c r="CR72" s="39">
        <f t="shared" si="16"/>
        <v>0.115</v>
      </c>
      <c r="CS72" s="39">
        <f t="shared" si="17"/>
        <v>2.415</v>
      </c>
    </row>
    <row r="73" ht="12.75" customHeight="1">
      <c r="A73" s="34" t="s">
        <v>97</v>
      </c>
      <c r="B73" s="35" t="s">
        <v>47</v>
      </c>
      <c r="C73" s="36"/>
      <c r="D73" s="37">
        <f t="shared" si="18"/>
        <v>0.86</v>
      </c>
      <c r="E73" s="38">
        <f t="shared" si="19"/>
        <v>0</v>
      </c>
      <c r="F73" s="1"/>
      <c r="G73" s="1"/>
      <c r="H73" s="1"/>
      <c r="I73" s="1"/>
      <c r="J73" s="1"/>
      <c r="K73" s="1"/>
      <c r="L73" s="3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37">
        <v>2.55</v>
      </c>
      <c r="CR73" s="39">
        <f t="shared" si="16"/>
        <v>0.1275</v>
      </c>
      <c r="CS73" s="39">
        <f t="shared" si="17"/>
        <v>2.6775</v>
      </c>
    </row>
    <row r="74" ht="12.75" customHeight="1">
      <c r="A74" s="34" t="s">
        <v>51</v>
      </c>
      <c r="B74" s="35" t="s">
        <v>47</v>
      </c>
      <c r="C74" s="36"/>
      <c r="D74" s="37">
        <f t="shared" si="18"/>
        <v>2.27</v>
      </c>
      <c r="E74" s="38">
        <f t="shared" si="19"/>
        <v>0</v>
      </c>
      <c r="F74" s="1"/>
      <c r="G74" s="42"/>
      <c r="H74" s="1"/>
      <c r="I74" s="1"/>
      <c r="J74" s="1"/>
      <c r="K74" s="1"/>
      <c r="L74" s="3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37"/>
      <c r="CR74" s="39"/>
      <c r="CS74" s="39"/>
    </row>
    <row r="75" ht="12.75" customHeight="1">
      <c r="A75" s="34" t="s">
        <v>98</v>
      </c>
      <c r="B75" s="35" t="s">
        <v>47</v>
      </c>
      <c r="C75" s="36"/>
      <c r="D75" s="37">
        <f t="shared" si="18"/>
        <v>0.72</v>
      </c>
      <c r="E75" s="38">
        <f t="shared" si="19"/>
        <v>0</v>
      </c>
      <c r="F75" s="1"/>
      <c r="G75" s="42"/>
      <c r="H75" s="1"/>
      <c r="I75" s="1"/>
      <c r="J75" s="1"/>
      <c r="K75" s="1"/>
      <c r="L75" s="3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37"/>
      <c r="CR75" s="39"/>
      <c r="CS75" s="39"/>
    </row>
    <row r="76" ht="12.75" customHeight="1">
      <c r="A76" s="34" t="s">
        <v>53</v>
      </c>
      <c r="B76" s="35" t="s">
        <v>47</v>
      </c>
      <c r="C76" s="36"/>
      <c r="D76" s="37">
        <f t="shared" si="18"/>
        <v>1.34</v>
      </c>
      <c r="E76" s="38">
        <f t="shared" si="19"/>
        <v>0</v>
      </c>
      <c r="F76" s="23"/>
      <c r="G76" s="1"/>
      <c r="H76" s="1"/>
      <c r="I76" s="1"/>
      <c r="J76" s="1"/>
      <c r="K76" s="1"/>
      <c r="L76" s="3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37"/>
      <c r="CR76" s="39"/>
      <c r="CS76" s="39"/>
    </row>
    <row r="77" ht="12.75" customHeight="1">
      <c r="A77" s="34" t="s">
        <v>55</v>
      </c>
      <c r="B77" s="35" t="s">
        <v>47</v>
      </c>
      <c r="C77" s="36"/>
      <c r="D77" s="37">
        <f>D35</f>
        <v>1.5</v>
      </c>
      <c r="E77" s="38">
        <f t="shared" si="19"/>
        <v>0</v>
      </c>
      <c r="F77" s="23"/>
      <c r="G77" s="1"/>
      <c r="H77" s="1"/>
      <c r="I77" s="1"/>
      <c r="J77" s="1"/>
      <c r="K77" s="1"/>
      <c r="L77" s="3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37">
        <v>0.17</v>
      </c>
      <c r="CR77" s="39">
        <f t="shared" ref="CR77:CR79" si="20">CQ77*5%</f>
        <v>0.0085</v>
      </c>
      <c r="CS77" s="39">
        <f t="shared" ref="CS77:CS79" si="21">CQ77+CR77</f>
        <v>0.1785</v>
      </c>
    </row>
    <row r="78" ht="12.75" customHeight="1">
      <c r="A78" s="34" t="s">
        <v>60</v>
      </c>
      <c r="B78" s="35" t="s">
        <v>47</v>
      </c>
      <c r="C78" s="36"/>
      <c r="D78" s="37">
        <f t="shared" ref="D78:D80" si="22">D38</f>
        <v>1.14</v>
      </c>
      <c r="E78" s="38">
        <f t="shared" si="19"/>
        <v>0</v>
      </c>
      <c r="F78" s="1"/>
      <c r="G78" s="1"/>
      <c r="H78" s="1"/>
      <c r="I78" s="1"/>
      <c r="J78" s="1"/>
      <c r="K78" s="1"/>
      <c r="L78" s="3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37">
        <v>0.3</v>
      </c>
      <c r="CR78" s="39">
        <f t="shared" si="20"/>
        <v>0.015</v>
      </c>
      <c r="CS78" s="39">
        <f t="shared" si="21"/>
        <v>0.315</v>
      </c>
    </row>
    <row r="79" ht="12.75" customHeight="1">
      <c r="A79" s="34" t="s">
        <v>61</v>
      </c>
      <c r="B79" s="35" t="s">
        <v>47</v>
      </c>
      <c r="C79" s="36"/>
      <c r="D79" s="37">
        <f t="shared" si="22"/>
        <v>1.14</v>
      </c>
      <c r="E79" s="38">
        <f t="shared" si="19"/>
        <v>0</v>
      </c>
      <c r="F79" s="1"/>
      <c r="G79" s="50"/>
      <c r="H79" s="1"/>
      <c r="I79" s="1"/>
      <c r="J79" s="1"/>
      <c r="K79" s="1"/>
      <c r="L79" s="3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37">
        <v>0.91</v>
      </c>
      <c r="CR79" s="39">
        <f t="shared" si="20"/>
        <v>0.0455</v>
      </c>
      <c r="CS79" s="39">
        <f t="shared" si="21"/>
        <v>0.9555</v>
      </c>
    </row>
    <row r="80" ht="12.75" customHeight="1">
      <c r="A80" s="34" t="s">
        <v>99</v>
      </c>
      <c r="B80" s="35" t="s">
        <v>47</v>
      </c>
      <c r="C80" s="36"/>
      <c r="D80" s="37">
        <f t="shared" si="22"/>
        <v>1.1</v>
      </c>
      <c r="E80" s="38">
        <f t="shared" si="19"/>
        <v>0</v>
      </c>
      <c r="F80" s="1"/>
      <c r="G80" s="1"/>
      <c r="H80" s="1"/>
      <c r="I80" s="44"/>
      <c r="J80" s="44"/>
      <c r="K80" s="1"/>
      <c r="L80" s="39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</row>
    <row r="81" ht="12.75" customHeight="1">
      <c r="A81" s="34" t="s">
        <v>100</v>
      </c>
      <c r="B81" s="35" t="s">
        <v>47</v>
      </c>
      <c r="C81" s="36"/>
      <c r="D81" s="37">
        <f t="shared" ref="D81:D85" si="23">D57</f>
        <v>2.97</v>
      </c>
      <c r="E81" s="38">
        <f t="shared" si="19"/>
        <v>0</v>
      </c>
      <c r="F81" s="1"/>
      <c r="G81" s="51"/>
      <c r="H81" s="1"/>
      <c r="I81" s="1"/>
      <c r="J81" s="1"/>
      <c r="K81" s="1"/>
      <c r="L81" s="3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</row>
    <row r="82" ht="12.75" customHeight="1">
      <c r="A82" s="34" t="s">
        <v>83</v>
      </c>
      <c r="B82" s="35" t="s">
        <v>47</v>
      </c>
      <c r="C82" s="36"/>
      <c r="D82" s="37">
        <f t="shared" si="23"/>
        <v>13.1</v>
      </c>
      <c r="E82" s="38">
        <f t="shared" si="19"/>
        <v>0</v>
      </c>
      <c r="F82" s="1"/>
      <c r="G82" s="8"/>
      <c r="H82" s="43"/>
      <c r="I82" s="1"/>
      <c r="J82" s="1"/>
      <c r="K82" s="1"/>
      <c r="L82" s="3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</row>
    <row r="83" ht="12.75" customHeight="1">
      <c r="A83" s="34" t="s">
        <v>84</v>
      </c>
      <c r="B83" s="35" t="s">
        <v>47</v>
      </c>
      <c r="C83" s="36"/>
      <c r="D83" s="37">
        <f t="shared" si="23"/>
        <v>6.49</v>
      </c>
      <c r="E83" s="38">
        <f t="shared" si="19"/>
        <v>0</v>
      </c>
      <c r="F83" s="1"/>
      <c r="G83" s="31"/>
      <c r="H83" s="1"/>
      <c r="I83" s="1"/>
      <c r="J83" s="1"/>
      <c r="K83" s="1"/>
      <c r="L83" s="3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ht="12.75" customHeight="1">
      <c r="A84" s="34" t="s">
        <v>85</v>
      </c>
      <c r="B84" s="35" t="s">
        <v>47</v>
      </c>
      <c r="C84" s="36"/>
      <c r="D84" s="37">
        <f t="shared" si="23"/>
        <v>8.4</v>
      </c>
      <c r="E84" s="38">
        <f t="shared" si="19"/>
        <v>0</v>
      </c>
      <c r="F84" s="1"/>
      <c r="G84" s="1"/>
      <c r="H84" s="1"/>
      <c r="I84" s="1"/>
      <c r="J84" s="1"/>
      <c r="K84" s="1"/>
      <c r="L84" s="3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</row>
    <row r="85" ht="12.75" customHeight="1">
      <c r="A85" s="34" t="s">
        <v>86</v>
      </c>
      <c r="B85" s="35" t="s">
        <v>47</v>
      </c>
      <c r="C85" s="36"/>
      <c r="D85" s="37">
        <f t="shared" si="23"/>
        <v>0.98</v>
      </c>
      <c r="E85" s="38">
        <f t="shared" si="19"/>
        <v>0</v>
      </c>
      <c r="F85" s="1"/>
      <c r="G85" s="1"/>
      <c r="H85" s="1"/>
      <c r="I85" s="1"/>
      <c r="J85" s="1"/>
      <c r="K85" s="1"/>
      <c r="L85" s="3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</row>
    <row r="86" ht="12.75" customHeight="1">
      <c r="A86" s="34" t="s">
        <v>101</v>
      </c>
      <c r="B86" s="35" t="s">
        <v>47</v>
      </c>
      <c r="C86" s="36"/>
      <c r="D86" s="37">
        <f>D63</f>
        <v>1.48</v>
      </c>
      <c r="E86" s="38">
        <f t="shared" si="19"/>
        <v>0</v>
      </c>
      <c r="F86" s="1"/>
      <c r="G86" s="1"/>
      <c r="H86" s="1"/>
      <c r="I86" s="1"/>
      <c r="J86" s="1"/>
      <c r="K86" s="1"/>
      <c r="L86" s="3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</row>
    <row r="87" ht="12.75" customHeight="1">
      <c r="A87" s="52" t="s">
        <v>102</v>
      </c>
      <c r="B87" s="53" t="s">
        <v>47</v>
      </c>
      <c r="C87" s="54"/>
      <c r="D87" s="55">
        <v>30.0</v>
      </c>
      <c r="E87" s="38">
        <f t="shared" ref="E87:E88" si="24">D87*C87/12</f>
        <v>0</v>
      </c>
      <c r="F87" s="20"/>
      <c r="G87" s="1"/>
      <c r="H87" s="1"/>
      <c r="I87" s="1"/>
      <c r="J87" s="1"/>
      <c r="K87" s="1"/>
      <c r="L87" s="3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</row>
    <row r="88" ht="12.75" customHeight="1">
      <c r="A88" s="52" t="s">
        <v>103</v>
      </c>
      <c r="B88" s="53" t="s">
        <v>47</v>
      </c>
      <c r="C88" s="54"/>
      <c r="D88" s="55">
        <v>32.0</v>
      </c>
      <c r="E88" s="38">
        <f t="shared" si="24"/>
        <v>0</v>
      </c>
      <c r="F88" s="20"/>
      <c r="G88" s="1"/>
      <c r="H88" s="56"/>
      <c r="I88" s="1"/>
      <c r="J88" s="1"/>
      <c r="K88" s="1"/>
      <c r="L88" s="3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</row>
    <row r="89" ht="12.75" customHeight="1">
      <c r="A89" s="44" t="s">
        <v>21</v>
      </c>
      <c r="B89" s="1"/>
      <c r="C89" s="36"/>
      <c r="D89" s="9"/>
      <c r="E89" s="57">
        <f>SUM(E72:E88)</f>
        <v>0</v>
      </c>
      <c r="F89" s="1"/>
      <c r="G89" s="1"/>
      <c r="H89" s="58"/>
      <c r="I89" s="1"/>
      <c r="J89" s="1"/>
      <c r="K89" s="1"/>
      <c r="L89" s="3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</row>
    <row r="90" ht="12.75" customHeight="1">
      <c r="A90" s="1"/>
      <c r="B90" s="1"/>
      <c r="C90" s="36"/>
      <c r="D90" s="9"/>
      <c r="E90" s="39"/>
      <c r="F90" s="1"/>
      <c r="G90" s="1"/>
      <c r="H90" s="58"/>
      <c r="I90" s="1"/>
      <c r="J90" s="1"/>
      <c r="K90" s="1"/>
      <c r="L90" s="3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ht="12.75" customHeight="1">
      <c r="A91" s="1"/>
      <c r="B91" s="1"/>
      <c r="C91" s="23"/>
      <c r="D91" s="9"/>
      <c r="E91" s="1"/>
      <c r="F91" s="1"/>
      <c r="G91" s="34"/>
      <c r="H91" s="59"/>
      <c r="I91" s="1"/>
      <c r="J91" s="1"/>
      <c r="K91" s="1"/>
      <c r="L91" s="3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</row>
    <row r="92" ht="12.75" customHeight="1">
      <c r="A92" s="44" t="s">
        <v>104</v>
      </c>
      <c r="B92" s="21" t="s">
        <v>33</v>
      </c>
      <c r="C92" s="21" t="s">
        <v>34</v>
      </c>
      <c r="D92" s="32" t="s">
        <v>35</v>
      </c>
      <c r="E92" s="21" t="s">
        <v>36</v>
      </c>
      <c r="F92" s="1"/>
      <c r="G92" s="34"/>
      <c r="H92" s="8"/>
      <c r="I92" s="1"/>
      <c r="J92" s="1"/>
      <c r="K92" s="1"/>
      <c r="L92" s="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ht="12.75" customHeight="1">
      <c r="A93" s="34" t="s">
        <v>105</v>
      </c>
      <c r="B93" s="35" t="s">
        <v>47</v>
      </c>
      <c r="C93" s="36"/>
      <c r="D93" s="60">
        <v>10.0</v>
      </c>
      <c r="E93" s="38">
        <f t="shared" ref="E93:E94" si="25">(D93*C93)/12</f>
        <v>0</v>
      </c>
      <c r="F93" s="43"/>
      <c r="G93" s="34"/>
      <c r="H93" s="1"/>
      <c r="I93" s="1"/>
      <c r="J93" s="1"/>
      <c r="K93" s="1"/>
      <c r="L93" s="3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</row>
    <row r="94" ht="12.75" customHeight="1">
      <c r="A94" s="34" t="s">
        <v>106</v>
      </c>
      <c r="B94" s="35" t="s">
        <v>47</v>
      </c>
      <c r="C94" s="36"/>
      <c r="D94" s="60">
        <v>18.0</v>
      </c>
      <c r="E94" s="38">
        <f t="shared" si="25"/>
        <v>0</v>
      </c>
      <c r="F94" s="43"/>
      <c r="G94" s="34"/>
      <c r="H94" s="1"/>
      <c r="I94" s="1"/>
      <c r="J94" s="1"/>
      <c r="K94" s="1"/>
      <c r="L94" s="3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</row>
    <row r="95" ht="12.75" customHeight="1">
      <c r="A95" s="61" t="s">
        <v>107</v>
      </c>
      <c r="B95" s="35" t="s">
        <v>47</v>
      </c>
      <c r="C95" s="36"/>
      <c r="D95" s="60">
        <v>800.0</v>
      </c>
      <c r="E95" s="38">
        <f t="shared" ref="E95:E98" si="26">(D95*C95)/48</f>
        <v>0</v>
      </c>
      <c r="F95" s="43"/>
      <c r="G95" s="34"/>
      <c r="H95" s="1"/>
      <c r="I95" s="1"/>
      <c r="J95" s="1"/>
      <c r="K95" s="1"/>
      <c r="L95" s="3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</row>
    <row r="96" ht="12.75" customHeight="1">
      <c r="A96" s="61" t="s">
        <v>108</v>
      </c>
      <c r="B96" s="35" t="s">
        <v>47</v>
      </c>
      <c r="C96" s="36">
        <v>1.0</v>
      </c>
      <c r="D96" s="60">
        <v>1100.0</v>
      </c>
      <c r="E96" s="38">
        <f t="shared" si="26"/>
        <v>22.91666667</v>
      </c>
      <c r="F96" s="1"/>
      <c r="G96" s="34"/>
      <c r="H96" s="62"/>
      <c r="I96" s="1"/>
      <c r="J96" s="1"/>
      <c r="K96" s="1"/>
      <c r="L96" s="3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</row>
    <row r="97" ht="12.75" customHeight="1">
      <c r="A97" s="61" t="s">
        <v>109</v>
      </c>
      <c r="B97" s="35" t="s">
        <v>47</v>
      </c>
      <c r="C97" s="36"/>
      <c r="D97" s="60">
        <v>1500.0</v>
      </c>
      <c r="E97" s="38">
        <f t="shared" si="26"/>
        <v>0</v>
      </c>
      <c r="F97" s="43"/>
      <c r="G97" s="34"/>
      <c r="H97" s="1"/>
      <c r="I97" s="1"/>
      <c r="J97" s="1"/>
      <c r="K97" s="1"/>
      <c r="L97" s="3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</row>
    <row r="98" ht="12.75" customHeight="1">
      <c r="A98" s="61" t="s">
        <v>110</v>
      </c>
      <c r="B98" s="35" t="s">
        <v>111</v>
      </c>
      <c r="C98" s="36"/>
      <c r="D98" s="60">
        <v>290.0</v>
      </c>
      <c r="E98" s="38">
        <f t="shared" si="26"/>
        <v>0</v>
      </c>
      <c r="F98" s="43"/>
      <c r="G98" s="34"/>
      <c r="H98" s="1"/>
      <c r="I98" s="1"/>
      <c r="J98" s="1"/>
      <c r="K98" s="1"/>
      <c r="L98" s="3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</row>
    <row r="99" ht="12.75" customHeight="1">
      <c r="A99" s="61" t="s">
        <v>112</v>
      </c>
      <c r="B99" s="35" t="s">
        <v>47</v>
      </c>
      <c r="C99" s="36"/>
      <c r="D99" s="60">
        <v>8.0</v>
      </c>
      <c r="E99" s="38">
        <f t="shared" ref="E99:E100" si="27">(D99*C99)/12</f>
        <v>0</v>
      </c>
      <c r="F99" s="1"/>
      <c r="G99" s="34"/>
      <c r="H99" s="1"/>
      <c r="I99" s="1"/>
      <c r="J99" s="1"/>
      <c r="K99" s="1"/>
      <c r="L99" s="3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</row>
    <row r="100" ht="12.75" customHeight="1">
      <c r="A100" s="61" t="s">
        <v>113</v>
      </c>
      <c r="B100" s="35" t="s">
        <v>47</v>
      </c>
      <c r="C100" s="36"/>
      <c r="D100" s="60">
        <v>68.0</v>
      </c>
      <c r="E100" s="38">
        <f t="shared" si="27"/>
        <v>0</v>
      </c>
      <c r="F100" s="43"/>
      <c r="G100" s="34"/>
      <c r="H100" s="1"/>
      <c r="I100" s="1"/>
      <c r="J100" s="1"/>
      <c r="K100" s="1"/>
      <c r="L100" s="3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</row>
    <row r="101" ht="12.75" customHeight="1">
      <c r="A101" s="61" t="s">
        <v>114</v>
      </c>
      <c r="B101" s="35" t="s">
        <v>47</v>
      </c>
      <c r="C101" s="36"/>
      <c r="D101" s="60">
        <v>150.0</v>
      </c>
      <c r="E101" s="38">
        <f t="shared" ref="E101:E102" si="28">(D101*C101)/18</f>
        <v>0</v>
      </c>
      <c r="F101" s="43"/>
      <c r="G101" s="34"/>
      <c r="H101" s="1"/>
      <c r="I101" s="1"/>
      <c r="J101" s="1"/>
      <c r="K101" s="1"/>
      <c r="L101" s="3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</row>
    <row r="102" ht="12.75" customHeight="1">
      <c r="A102" s="61" t="s">
        <v>115</v>
      </c>
      <c r="B102" s="35" t="s">
        <v>74</v>
      </c>
      <c r="C102" s="36"/>
      <c r="D102" s="60">
        <v>0.2</v>
      </c>
      <c r="E102" s="38">
        <f t="shared" si="28"/>
        <v>0</v>
      </c>
      <c r="F102" s="43"/>
      <c r="G102" s="34"/>
      <c r="H102" s="1"/>
      <c r="I102" s="1"/>
      <c r="J102" s="1"/>
      <c r="K102" s="1"/>
      <c r="L102" s="3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</row>
    <row r="103" ht="12.75" customHeight="1">
      <c r="A103" s="61" t="s">
        <v>116</v>
      </c>
      <c r="B103" s="35" t="s">
        <v>47</v>
      </c>
      <c r="C103" s="36">
        <v>2.0</v>
      </c>
      <c r="D103" s="60">
        <v>3.0</v>
      </c>
      <c r="E103" s="38">
        <f>(D103*C103)/4</f>
        <v>1.5</v>
      </c>
      <c r="F103" s="43"/>
      <c r="G103" s="34"/>
      <c r="H103" s="1"/>
      <c r="I103" s="1"/>
      <c r="J103" s="1"/>
      <c r="K103" s="1"/>
      <c r="L103" s="3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</row>
    <row r="104" ht="12.75" customHeight="1">
      <c r="A104" s="61" t="s">
        <v>117</v>
      </c>
      <c r="B104" s="35" t="s">
        <v>47</v>
      </c>
      <c r="C104" s="36">
        <v>1.0</v>
      </c>
      <c r="D104" s="60">
        <v>33.0</v>
      </c>
      <c r="E104" s="38">
        <f t="shared" ref="E104:E105" si="29">(D104*C104)/12</f>
        <v>2.75</v>
      </c>
      <c r="F104" s="1"/>
      <c r="G104" s="34"/>
      <c r="H104" s="1"/>
      <c r="I104" s="1"/>
      <c r="J104" s="1"/>
      <c r="K104" s="1"/>
      <c r="L104" s="3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</row>
    <row r="105" ht="12.75" customHeight="1">
      <c r="A105" s="61" t="s">
        <v>118</v>
      </c>
      <c r="B105" s="35" t="s">
        <v>47</v>
      </c>
      <c r="C105" s="36"/>
      <c r="D105" s="60">
        <v>20.0</v>
      </c>
      <c r="E105" s="38">
        <f t="shared" si="29"/>
        <v>0</v>
      </c>
      <c r="F105" s="1"/>
      <c r="G105" s="34"/>
      <c r="H105" s="62"/>
      <c r="I105" s="1"/>
      <c r="J105" s="1"/>
      <c r="K105" s="1"/>
      <c r="L105" s="3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</row>
    <row r="106" ht="12.75" customHeight="1">
      <c r="A106" s="61" t="s">
        <v>119</v>
      </c>
      <c r="B106" s="35" t="s">
        <v>47</v>
      </c>
      <c r="C106" s="36"/>
      <c r="D106" s="60">
        <v>420.0</v>
      </c>
      <c r="E106" s="38">
        <f>(D106*C106)/24</f>
        <v>0</v>
      </c>
      <c r="F106" s="1"/>
      <c r="G106" s="34"/>
      <c r="H106" s="62"/>
      <c r="I106" s="1"/>
      <c r="J106" s="1"/>
      <c r="K106" s="1"/>
      <c r="L106" s="3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</row>
    <row r="107" ht="12.75" customHeight="1">
      <c r="A107" s="61" t="s">
        <v>120</v>
      </c>
      <c r="B107" s="35" t="s">
        <v>47</v>
      </c>
      <c r="C107" s="36"/>
      <c r="D107" s="60">
        <v>318.0</v>
      </c>
      <c r="E107" s="38">
        <f>(D107*C107)/18</f>
        <v>0</v>
      </c>
      <c r="F107" s="1"/>
      <c r="G107" s="34"/>
      <c r="H107" s="62"/>
      <c r="I107" s="1"/>
      <c r="J107" s="1"/>
      <c r="K107" s="1"/>
      <c r="L107" s="3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</row>
    <row r="108" ht="12.75" customHeight="1">
      <c r="A108" s="61" t="s">
        <v>121</v>
      </c>
      <c r="B108" s="35" t="s">
        <v>47</v>
      </c>
      <c r="C108" s="36"/>
      <c r="D108" s="60">
        <v>12.0</v>
      </c>
      <c r="E108" s="38">
        <f>(D108*C108)/6</f>
        <v>0</v>
      </c>
      <c r="F108" s="1"/>
      <c r="G108" s="34"/>
      <c r="H108" s="62"/>
      <c r="I108" s="1"/>
      <c r="J108" s="1"/>
      <c r="K108" s="1"/>
      <c r="L108" s="3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</row>
    <row r="109" ht="12.75" customHeight="1">
      <c r="A109" s="61" t="s">
        <v>122</v>
      </c>
      <c r="B109" s="35" t="s">
        <v>47</v>
      </c>
      <c r="C109" s="36"/>
      <c r="D109" s="60">
        <v>1.05</v>
      </c>
      <c r="E109" s="38">
        <f>(D109*C109)/2</f>
        <v>0</v>
      </c>
      <c r="F109" s="1"/>
      <c r="G109" s="34"/>
      <c r="H109" s="62"/>
      <c r="I109" s="1"/>
      <c r="J109" s="1"/>
      <c r="K109" s="1"/>
      <c r="L109" s="3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</row>
    <row r="110" ht="12.75" customHeight="1">
      <c r="A110" s="61" t="s">
        <v>123</v>
      </c>
      <c r="B110" s="35" t="s">
        <v>47</v>
      </c>
      <c r="C110" s="36"/>
      <c r="D110" s="60">
        <v>4.5</v>
      </c>
      <c r="E110" s="38">
        <f>(D110*C110)</f>
        <v>0</v>
      </c>
      <c r="F110" s="1"/>
      <c r="G110" s="34"/>
      <c r="H110" s="62"/>
      <c r="I110" s="1"/>
      <c r="J110" s="1"/>
      <c r="K110" s="1"/>
      <c r="L110" s="3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</row>
    <row r="111" ht="12.75" customHeight="1">
      <c r="A111" s="61" t="s">
        <v>124</v>
      </c>
      <c r="B111" s="35" t="s">
        <v>47</v>
      </c>
      <c r="C111" s="36"/>
      <c r="D111" s="60">
        <v>3.7</v>
      </c>
      <c r="E111" s="38">
        <f>(D111*C111)/6</f>
        <v>0</v>
      </c>
      <c r="F111" s="1"/>
      <c r="G111" s="34"/>
      <c r="H111" s="62"/>
      <c r="I111" s="1"/>
      <c r="J111" s="1"/>
      <c r="K111" s="1"/>
      <c r="L111" s="3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</row>
    <row r="112" ht="12.75" customHeight="1">
      <c r="A112" s="34" t="s">
        <v>125</v>
      </c>
      <c r="B112" s="35" t="s">
        <v>47</v>
      </c>
      <c r="C112" s="36"/>
      <c r="D112" s="60">
        <v>500.0</v>
      </c>
      <c r="E112" s="38">
        <f>(D112*C112)/36</f>
        <v>0</v>
      </c>
      <c r="F112" s="1"/>
      <c r="G112" s="34"/>
      <c r="H112" s="62"/>
      <c r="I112" s="1"/>
      <c r="J112" s="1"/>
      <c r="K112" s="1"/>
      <c r="L112" s="3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</row>
    <row r="113" ht="12.75" customHeight="1">
      <c r="A113" s="34" t="s">
        <v>126</v>
      </c>
      <c r="B113" s="35" t="s">
        <v>47</v>
      </c>
      <c r="C113" s="36"/>
      <c r="D113" s="60">
        <v>84.0</v>
      </c>
      <c r="E113" s="38">
        <f>(D113*C113)/12</f>
        <v>0</v>
      </c>
      <c r="F113" s="1"/>
      <c r="G113" s="34"/>
      <c r="H113" s="62"/>
      <c r="I113" s="1"/>
      <c r="J113" s="1"/>
      <c r="K113" s="1"/>
      <c r="L113" s="3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</row>
    <row r="114" ht="12.75" customHeight="1">
      <c r="A114" s="34" t="s">
        <v>127</v>
      </c>
      <c r="B114" s="35" t="s">
        <v>47</v>
      </c>
      <c r="C114" s="36"/>
      <c r="D114" s="60">
        <v>7.0</v>
      </c>
      <c r="E114" s="38">
        <f t="shared" ref="E114:E115" si="30">(D114*C114)/6</f>
        <v>0</v>
      </c>
      <c r="F114" s="1"/>
      <c r="G114" s="34"/>
      <c r="H114" s="62"/>
      <c r="I114" s="1"/>
      <c r="J114" s="1"/>
      <c r="K114" s="1"/>
      <c r="L114" s="3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</row>
    <row r="115" ht="12.75" customHeight="1">
      <c r="A115" s="34" t="s">
        <v>128</v>
      </c>
      <c r="B115" s="35" t="s">
        <v>47</v>
      </c>
      <c r="C115" s="36"/>
      <c r="D115" s="60">
        <v>3.0</v>
      </c>
      <c r="E115" s="38">
        <f t="shared" si="30"/>
        <v>0</v>
      </c>
      <c r="F115" s="1"/>
      <c r="G115" s="34"/>
      <c r="H115" s="62"/>
      <c r="I115" s="1"/>
      <c r="J115" s="1"/>
      <c r="K115" s="1"/>
      <c r="L115" s="3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</row>
    <row r="116" ht="12.75" customHeight="1">
      <c r="A116" s="34" t="s">
        <v>129</v>
      </c>
      <c r="B116" s="35" t="s">
        <v>47</v>
      </c>
      <c r="C116" s="36"/>
      <c r="D116" s="60">
        <v>130.0</v>
      </c>
      <c r="E116" s="38">
        <f>(D116*C116)/12</f>
        <v>0</v>
      </c>
      <c r="F116" s="1"/>
      <c r="G116" s="34"/>
      <c r="H116" s="62"/>
      <c r="I116" s="1"/>
      <c r="J116" s="1"/>
      <c r="K116" s="1"/>
      <c r="L116" s="3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</row>
    <row r="117" ht="12.75" customHeight="1">
      <c r="A117" s="34" t="s">
        <v>130</v>
      </c>
      <c r="B117" s="35" t="s">
        <v>47</v>
      </c>
      <c r="C117" s="36"/>
      <c r="D117" s="60">
        <v>6.0</v>
      </c>
      <c r="E117" s="38">
        <f>(D117*C117)/6</f>
        <v>0</v>
      </c>
      <c r="F117" s="43"/>
      <c r="G117" s="34"/>
      <c r="H117" s="62"/>
      <c r="I117" s="1"/>
      <c r="J117" s="1"/>
      <c r="K117" s="1"/>
      <c r="L117" s="3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</row>
    <row r="118" ht="12.75" customHeight="1">
      <c r="A118" s="34" t="s">
        <v>131</v>
      </c>
      <c r="B118" s="35" t="s">
        <v>47</v>
      </c>
      <c r="C118" s="36"/>
      <c r="D118" s="60">
        <v>80.0</v>
      </c>
      <c r="E118" s="38">
        <f>(D118*C118)/18</f>
        <v>0</v>
      </c>
      <c r="F118" s="43"/>
      <c r="G118" s="34"/>
      <c r="H118" s="62"/>
      <c r="I118" s="1"/>
      <c r="J118" s="1"/>
      <c r="K118" s="1"/>
      <c r="L118" s="3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</row>
    <row r="119" ht="12.75" customHeight="1">
      <c r="A119" s="34" t="s">
        <v>132</v>
      </c>
      <c r="B119" s="35" t="s">
        <v>47</v>
      </c>
      <c r="C119" s="36"/>
      <c r="D119" s="60">
        <v>120.0</v>
      </c>
      <c r="E119" s="38">
        <f t="shared" ref="E119:E121" si="31">(D119*C119)/12</f>
        <v>0</v>
      </c>
      <c r="F119" s="43"/>
      <c r="G119" s="34"/>
      <c r="H119" s="62"/>
      <c r="I119" s="1"/>
      <c r="J119" s="1"/>
      <c r="K119" s="1"/>
      <c r="L119" s="3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</row>
    <row r="120" ht="12.75" customHeight="1">
      <c r="A120" s="34" t="s">
        <v>133</v>
      </c>
      <c r="B120" s="35" t="s">
        <v>47</v>
      </c>
      <c r="C120" s="36"/>
      <c r="D120" s="60">
        <v>130.0</v>
      </c>
      <c r="E120" s="38">
        <f t="shared" si="31"/>
        <v>0</v>
      </c>
      <c r="F120" s="43"/>
      <c r="G120" s="34"/>
      <c r="H120" s="62"/>
      <c r="I120" s="1"/>
      <c r="J120" s="1"/>
      <c r="K120" s="1"/>
      <c r="L120" s="3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</row>
    <row r="121" ht="12.75" customHeight="1">
      <c r="A121" s="34" t="s">
        <v>134</v>
      </c>
      <c r="B121" s="35" t="s">
        <v>47</v>
      </c>
      <c r="C121" s="36"/>
      <c r="D121" s="60">
        <v>85.0</v>
      </c>
      <c r="E121" s="38">
        <f t="shared" si="31"/>
        <v>0</v>
      </c>
      <c r="F121" s="1"/>
      <c r="G121" s="34"/>
      <c r="H121" s="62"/>
      <c r="I121" s="1"/>
      <c r="J121" s="1"/>
      <c r="K121" s="1"/>
      <c r="L121" s="3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</row>
    <row r="122" ht="12.75" customHeight="1">
      <c r="A122" s="34" t="s">
        <v>135</v>
      </c>
      <c r="B122" s="35" t="s">
        <v>47</v>
      </c>
      <c r="C122" s="36"/>
      <c r="D122" s="60">
        <v>7.0</v>
      </c>
      <c r="E122" s="38">
        <f>D122*C122/12</f>
        <v>0</v>
      </c>
      <c r="F122" s="43"/>
      <c r="G122" s="34"/>
      <c r="H122" s="62"/>
      <c r="I122" s="1"/>
      <c r="J122" s="1"/>
      <c r="K122" s="1"/>
      <c r="L122" s="3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</row>
    <row r="123" ht="12.75" customHeight="1">
      <c r="A123" s="34" t="s">
        <v>136</v>
      </c>
      <c r="B123" s="35" t="s">
        <v>47</v>
      </c>
      <c r="C123" s="36"/>
      <c r="D123" s="60">
        <v>50.0</v>
      </c>
      <c r="E123" s="38">
        <f t="shared" ref="E123:E126" si="32">(D123*C123)/24</f>
        <v>0</v>
      </c>
      <c r="F123" s="43"/>
      <c r="G123" s="34"/>
      <c r="H123" s="62"/>
      <c r="I123" s="1"/>
      <c r="J123" s="1"/>
      <c r="K123" s="1"/>
      <c r="L123" s="3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</row>
    <row r="124" ht="12.75" customHeight="1">
      <c r="A124" s="34" t="s">
        <v>137</v>
      </c>
      <c r="B124" s="35" t="s">
        <v>47</v>
      </c>
      <c r="C124" s="36"/>
      <c r="D124" s="60">
        <v>55.0</v>
      </c>
      <c r="E124" s="38">
        <f t="shared" si="32"/>
        <v>0</v>
      </c>
      <c r="F124" s="43"/>
      <c r="G124" s="34"/>
      <c r="H124" s="62"/>
      <c r="I124" s="1"/>
      <c r="J124" s="1"/>
      <c r="K124" s="1"/>
      <c r="L124" s="3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</row>
    <row r="125" ht="12.75" customHeight="1">
      <c r="A125" s="34" t="s">
        <v>138</v>
      </c>
      <c r="B125" s="35" t="s">
        <v>47</v>
      </c>
      <c r="C125" s="36"/>
      <c r="D125" s="60">
        <v>61.0</v>
      </c>
      <c r="E125" s="38">
        <f t="shared" si="32"/>
        <v>0</v>
      </c>
      <c r="F125" s="43"/>
      <c r="G125" s="34"/>
      <c r="H125" s="62"/>
      <c r="I125" s="1"/>
      <c r="J125" s="1"/>
      <c r="K125" s="1"/>
      <c r="L125" s="3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</row>
    <row r="126" ht="12.75" customHeight="1">
      <c r="A126" s="34" t="s">
        <v>139</v>
      </c>
      <c r="B126" s="35" t="s">
        <v>47</v>
      </c>
      <c r="C126" s="36"/>
      <c r="D126" s="60">
        <v>201.0</v>
      </c>
      <c r="E126" s="38">
        <f t="shared" si="32"/>
        <v>0</v>
      </c>
      <c r="F126" s="43"/>
      <c r="G126" s="34"/>
      <c r="H126" s="62"/>
      <c r="I126" s="1"/>
      <c r="J126" s="1"/>
      <c r="K126" s="1"/>
      <c r="L126" s="3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</row>
    <row r="127" ht="12.75" customHeight="1">
      <c r="A127" s="34" t="s">
        <v>140</v>
      </c>
      <c r="B127" s="35" t="s">
        <v>47</v>
      </c>
      <c r="C127" s="36"/>
      <c r="D127" s="60">
        <v>220.0</v>
      </c>
      <c r="E127" s="38">
        <f>(D127*C127)/36</f>
        <v>0</v>
      </c>
      <c r="F127" s="43"/>
      <c r="G127" s="34"/>
      <c r="H127" s="62"/>
      <c r="I127" s="1"/>
      <c r="J127" s="1"/>
      <c r="K127" s="1"/>
      <c r="L127" s="3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</row>
    <row r="128" ht="12.75" customHeight="1">
      <c r="A128" s="34" t="s">
        <v>141</v>
      </c>
      <c r="B128" s="35" t="s">
        <v>47</v>
      </c>
      <c r="C128" s="36"/>
      <c r="D128" s="60">
        <v>100.0</v>
      </c>
      <c r="E128" s="38">
        <f t="shared" ref="E128:E129" si="33">(D128*C128)/12</f>
        <v>0</v>
      </c>
      <c r="F128" s="43"/>
      <c r="G128" s="34"/>
      <c r="H128" s="62"/>
      <c r="I128" s="1"/>
      <c r="J128" s="1"/>
      <c r="K128" s="1"/>
      <c r="L128" s="3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</row>
    <row r="129" ht="12.75" customHeight="1">
      <c r="A129" s="34" t="s">
        <v>142</v>
      </c>
      <c r="B129" s="35" t="s">
        <v>47</v>
      </c>
      <c r="C129" s="36"/>
      <c r="D129" s="60">
        <v>73.0</v>
      </c>
      <c r="E129" s="38">
        <f t="shared" si="33"/>
        <v>0</v>
      </c>
      <c r="F129" s="1"/>
      <c r="G129" s="34"/>
      <c r="H129" s="62"/>
      <c r="I129" s="1"/>
      <c r="J129" s="1"/>
      <c r="K129" s="1"/>
      <c r="L129" s="3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</row>
    <row r="130" ht="12.75" customHeight="1">
      <c r="A130" s="34" t="s">
        <v>143</v>
      </c>
      <c r="B130" s="35" t="s">
        <v>47</v>
      </c>
      <c r="C130" s="36"/>
      <c r="D130" s="60">
        <v>900.0</v>
      </c>
      <c r="E130" s="38">
        <f>(D130*C130)/18</f>
        <v>0</v>
      </c>
      <c r="F130" s="43"/>
      <c r="G130" s="34"/>
      <c r="H130" s="62"/>
      <c r="I130" s="1"/>
      <c r="J130" s="1"/>
      <c r="K130" s="1"/>
      <c r="L130" s="3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</row>
    <row r="131" ht="12.75" customHeight="1">
      <c r="A131" s="61" t="s">
        <v>144</v>
      </c>
      <c r="B131" s="35" t="s">
        <v>47</v>
      </c>
      <c r="C131" s="36"/>
      <c r="D131" s="60">
        <v>2300.0</v>
      </c>
      <c r="E131" s="38">
        <f t="shared" ref="E131:E132" si="34">(D131*C131)/48</f>
        <v>0</v>
      </c>
      <c r="F131" s="43"/>
      <c r="G131" s="34"/>
      <c r="H131" s="62"/>
      <c r="I131" s="1"/>
      <c r="J131" s="1"/>
      <c r="K131" s="1"/>
      <c r="L131" s="3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</row>
    <row r="132" ht="12.75" customHeight="1">
      <c r="A132" s="61" t="s">
        <v>145</v>
      </c>
      <c r="B132" s="35" t="s">
        <v>47</v>
      </c>
      <c r="C132" s="36"/>
      <c r="D132" s="63">
        <v>900.0</v>
      </c>
      <c r="E132" s="38">
        <f t="shared" si="34"/>
        <v>0</v>
      </c>
      <c r="F132" s="1"/>
      <c r="G132" s="34"/>
      <c r="H132" s="62"/>
      <c r="I132" s="1"/>
      <c r="J132" s="1"/>
      <c r="K132" s="1"/>
      <c r="L132" s="3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</row>
    <row r="133" ht="12.75" customHeight="1">
      <c r="A133" s="61" t="s">
        <v>146</v>
      </c>
      <c r="B133" s="35" t="s">
        <v>47</v>
      </c>
      <c r="C133" s="36"/>
      <c r="D133" s="60">
        <v>1850.0</v>
      </c>
      <c r="E133" s="38">
        <v>0.0</v>
      </c>
      <c r="F133" s="1"/>
      <c r="G133" s="34"/>
      <c r="H133" s="62"/>
      <c r="I133" s="1"/>
      <c r="J133" s="1"/>
      <c r="K133" s="1"/>
      <c r="L133" s="3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</row>
    <row r="134" ht="12.75" customHeight="1">
      <c r="A134" s="61" t="s">
        <v>147</v>
      </c>
      <c r="B134" s="35" t="s">
        <v>47</v>
      </c>
      <c r="C134" s="36"/>
      <c r="D134" s="60">
        <v>2050.0</v>
      </c>
      <c r="E134" s="38">
        <f>(D134*C134)/48</f>
        <v>0</v>
      </c>
      <c r="F134" s="1"/>
      <c r="G134" s="34"/>
      <c r="H134" s="62"/>
      <c r="I134" s="1"/>
      <c r="J134" s="1"/>
      <c r="K134" s="1"/>
      <c r="L134" s="3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</row>
    <row r="135" ht="12.75" customHeight="1">
      <c r="A135" s="34" t="s">
        <v>148</v>
      </c>
      <c r="B135" s="35" t="s">
        <v>47</v>
      </c>
      <c r="C135" s="36"/>
      <c r="D135" s="60">
        <v>12.0</v>
      </c>
      <c r="E135" s="38">
        <f>(D135*C135)/6</f>
        <v>0</v>
      </c>
      <c r="F135" s="43"/>
      <c r="G135" s="34"/>
      <c r="H135" s="62"/>
      <c r="I135" s="1"/>
      <c r="J135" s="1"/>
      <c r="K135" s="1"/>
      <c r="L135" s="3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</row>
    <row r="136" ht="12.75" customHeight="1">
      <c r="A136" s="34" t="s">
        <v>149</v>
      </c>
      <c r="B136" s="35" t="s">
        <v>47</v>
      </c>
      <c r="C136" s="36"/>
      <c r="D136" s="60">
        <v>10.0</v>
      </c>
      <c r="E136" s="38">
        <f>(D136*C136)/2</f>
        <v>0</v>
      </c>
      <c r="F136" s="43"/>
      <c r="G136" s="34"/>
      <c r="H136" s="62"/>
      <c r="I136" s="1"/>
      <c r="J136" s="1"/>
      <c r="K136" s="1"/>
      <c r="L136" s="3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</row>
    <row r="137" ht="12.75" customHeight="1">
      <c r="A137" s="34" t="s">
        <v>150</v>
      </c>
      <c r="B137" s="35" t="s">
        <v>47</v>
      </c>
      <c r="C137" s="36"/>
      <c r="D137" s="60">
        <v>20.7</v>
      </c>
      <c r="E137" s="38">
        <f>(D137*C137)/6</f>
        <v>0</v>
      </c>
      <c r="F137" s="1"/>
      <c r="G137" s="34"/>
      <c r="I137" s="1"/>
      <c r="J137" s="1"/>
      <c r="K137" s="1"/>
      <c r="L137" s="3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</row>
    <row r="138" ht="12.75" customHeight="1">
      <c r="A138" s="34" t="s">
        <v>151</v>
      </c>
      <c r="B138" s="35" t="s">
        <v>47</v>
      </c>
      <c r="C138" s="36"/>
      <c r="D138" s="60">
        <v>0.1</v>
      </c>
      <c r="E138" s="38">
        <f>(D138*C138)</f>
        <v>0</v>
      </c>
      <c r="F138" s="1"/>
      <c r="G138" s="34"/>
      <c r="H138" s="62"/>
      <c r="I138" s="1"/>
      <c r="J138" s="1"/>
      <c r="K138" s="1"/>
      <c r="L138" s="3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</row>
    <row r="139" ht="12.75" customHeight="1">
      <c r="A139" s="34" t="s">
        <v>152</v>
      </c>
      <c r="B139" s="35" t="s">
        <v>47</v>
      </c>
      <c r="C139" s="36"/>
      <c r="D139" s="60">
        <v>14.0</v>
      </c>
      <c r="E139" s="38">
        <f>(D139*C139)/24</f>
        <v>0</v>
      </c>
      <c r="F139" s="1"/>
      <c r="G139" s="34"/>
      <c r="H139" s="62"/>
      <c r="I139" s="1"/>
      <c r="J139" s="1"/>
      <c r="K139" s="1"/>
      <c r="L139" s="3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</row>
    <row r="140" ht="12.75" customHeight="1">
      <c r="A140" s="34" t="s">
        <v>153</v>
      </c>
      <c r="B140" s="35" t="s">
        <v>47</v>
      </c>
      <c r="C140" s="36"/>
      <c r="D140" s="60">
        <v>110.0</v>
      </c>
      <c r="E140" s="38">
        <f t="shared" ref="E140:E141" si="35">(D140*C140)/12</f>
        <v>0</v>
      </c>
      <c r="F140" s="1"/>
      <c r="G140" s="1"/>
      <c r="H140" s="62"/>
      <c r="I140" s="1"/>
      <c r="J140" s="1"/>
      <c r="K140" s="1"/>
      <c r="L140" s="3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</row>
    <row r="141" ht="12.75" customHeight="1">
      <c r="A141" s="34" t="s">
        <v>154</v>
      </c>
      <c r="B141" s="35" t="s">
        <v>47</v>
      </c>
      <c r="C141" s="36"/>
      <c r="D141" s="60">
        <v>120.0</v>
      </c>
      <c r="E141" s="38">
        <f t="shared" si="35"/>
        <v>0</v>
      </c>
      <c r="F141" s="1"/>
      <c r="G141" s="1"/>
      <c r="H141" s="62"/>
      <c r="I141" s="1"/>
      <c r="J141" s="1"/>
      <c r="K141" s="1"/>
      <c r="L141" s="3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</row>
    <row r="142" ht="12.75" customHeight="1">
      <c r="A142" s="44" t="s">
        <v>21</v>
      </c>
      <c r="B142" s="1"/>
      <c r="C142" s="23"/>
      <c r="D142" s="9"/>
      <c r="E142" s="57">
        <f>SUM(E93:E141)</f>
        <v>27.16666667</v>
      </c>
      <c r="F142" s="47">
        <v>0.05</v>
      </c>
      <c r="G142" s="1"/>
      <c r="H142" s="62"/>
      <c r="I142" s="1"/>
      <c r="J142" s="1"/>
      <c r="K142" s="1"/>
      <c r="L142" s="3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</row>
    <row r="143" ht="12.75" customHeight="1">
      <c r="A143" s="44"/>
      <c r="B143" s="1"/>
      <c r="C143" s="23"/>
      <c r="D143" s="9"/>
      <c r="E143" s="57"/>
      <c r="F143" s="44">
        <f>E142*F142</f>
        <v>1.358333333</v>
      </c>
      <c r="G143" s="39">
        <f>E142+F143</f>
        <v>28.525</v>
      </c>
      <c r="H143" s="1"/>
      <c r="I143" s="1"/>
      <c r="J143" s="1"/>
      <c r="K143" s="1"/>
      <c r="L143" s="3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</row>
    <row r="144" ht="12.75" customHeight="1">
      <c r="A144" s="44"/>
      <c r="B144" s="1"/>
      <c r="C144" s="23"/>
      <c r="D144" s="9"/>
      <c r="E144" s="57"/>
      <c r="F144" s="1"/>
      <c r="G144" s="39"/>
      <c r="H144" s="38"/>
      <c r="I144" s="23"/>
      <c r="J144" s="23"/>
      <c r="K144" s="23"/>
      <c r="L144" s="3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</row>
    <row r="145" ht="12.75" customHeight="1">
      <c r="A145" s="44"/>
      <c r="B145" s="1"/>
      <c r="C145" s="1"/>
      <c r="D145" s="2"/>
      <c r="E145" s="57"/>
      <c r="F145" s="1"/>
      <c r="G145" s="39"/>
      <c r="H145" s="38"/>
      <c r="I145" s="23" t="s">
        <v>155</v>
      </c>
      <c r="J145" s="23" t="s">
        <v>156</v>
      </c>
      <c r="K145" s="23" t="s">
        <v>157</v>
      </c>
      <c r="L145" s="39" t="s">
        <v>158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</row>
    <row r="146" ht="12.75" customHeight="1">
      <c r="A146" s="44" t="s">
        <v>159</v>
      </c>
      <c r="B146" s="1"/>
      <c r="C146" s="1"/>
      <c r="D146" s="2"/>
      <c r="E146" s="57">
        <f>H152</f>
        <v>15.05</v>
      </c>
      <c r="F146" s="1"/>
      <c r="G146" s="64" t="s">
        <v>160</v>
      </c>
      <c r="H146" s="65">
        <f>I146*J146*K146*2*L146</f>
        <v>15.05</v>
      </c>
      <c r="I146" s="66">
        <v>5.0</v>
      </c>
      <c r="J146" s="23">
        <v>0.35</v>
      </c>
      <c r="K146" s="23">
        <v>4.3</v>
      </c>
      <c r="L146" s="67">
        <v>1.0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</row>
    <row r="147" ht="12.75" customHeight="1">
      <c r="A147" s="44"/>
      <c r="B147" s="1"/>
      <c r="C147" s="1"/>
      <c r="D147" s="2"/>
      <c r="E147" s="57"/>
      <c r="F147" s="56"/>
      <c r="G147" s="64" t="s">
        <v>161</v>
      </c>
      <c r="H147" s="65">
        <f>I147/J147</f>
        <v>0</v>
      </c>
      <c r="I147" s="66"/>
      <c r="J147" s="1">
        <v>12.0</v>
      </c>
      <c r="K147" s="1"/>
      <c r="L147" s="3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</row>
    <row r="148" ht="12.75" customHeight="1">
      <c r="A148" s="56" t="s">
        <v>162</v>
      </c>
      <c r="B148" s="56"/>
      <c r="C148" s="56"/>
      <c r="D148" s="68"/>
      <c r="E148" s="69">
        <f>E146+G143+E89+G69+I36</f>
        <v>50.505</v>
      </c>
      <c r="F148" s="70"/>
      <c r="G148" s="71" t="s">
        <v>163</v>
      </c>
      <c r="H148" s="72">
        <v>0.0</v>
      </c>
      <c r="I148" s="1"/>
      <c r="J148" s="1"/>
      <c r="K148" s="1"/>
      <c r="L148" s="3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</row>
    <row r="149" ht="12.75" customHeight="1">
      <c r="A149" s="58" t="s">
        <v>164</v>
      </c>
      <c r="B149" s="58"/>
      <c r="C149" s="58"/>
      <c r="D149" s="73">
        <v>0.13</v>
      </c>
      <c r="E149" s="74">
        <f>E148*D149</f>
        <v>6.56565</v>
      </c>
      <c r="F149" s="59"/>
      <c r="G149" s="64" t="s">
        <v>165</v>
      </c>
      <c r="H149" s="65">
        <f>1*A21</f>
        <v>0</v>
      </c>
      <c r="I149" s="56" t="s">
        <v>166</v>
      </c>
      <c r="J149" s="56"/>
      <c r="K149" s="56"/>
      <c r="L149" s="3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</row>
    <row r="150" ht="12.75" customHeight="1">
      <c r="A150" s="59" t="s">
        <v>38</v>
      </c>
      <c r="B150" s="59"/>
      <c r="C150" s="59"/>
      <c r="D150" s="68"/>
      <c r="E150" s="75">
        <f>SUM(E148:E149)+E167</f>
        <v>57.07065</v>
      </c>
      <c r="F150" s="8"/>
      <c r="G150" s="64" t="s">
        <v>167</v>
      </c>
      <c r="H150" s="76">
        <v>0.0</v>
      </c>
      <c r="I150" s="77">
        <f>E150*J150*L150</f>
        <v>1.62080646</v>
      </c>
      <c r="J150" s="70">
        <v>0.0142</v>
      </c>
      <c r="K150" s="58" t="s">
        <v>168</v>
      </c>
      <c r="L150" s="67">
        <v>2.0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</row>
    <row r="151" ht="12.75" customHeight="1">
      <c r="A151" s="8" t="s">
        <v>169</v>
      </c>
      <c r="B151" s="8"/>
      <c r="C151" s="8"/>
      <c r="D151" s="68">
        <v>12.0</v>
      </c>
      <c r="E151" s="74">
        <f>E150*D151</f>
        <v>684.8478</v>
      </c>
      <c r="F151" s="1"/>
      <c r="G151" s="78" t="s">
        <v>170</v>
      </c>
      <c r="H151" s="79">
        <v>0.0</v>
      </c>
      <c r="I151" s="59"/>
      <c r="J151" s="59"/>
      <c r="K151" s="59"/>
      <c r="L151" s="3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</row>
    <row r="152" ht="12.75" customHeight="1">
      <c r="A152" s="1"/>
      <c r="B152" s="1"/>
      <c r="C152" s="1"/>
      <c r="D152" s="2"/>
      <c r="E152" s="1"/>
      <c r="F152" s="1"/>
      <c r="G152" s="80" t="s">
        <v>21</v>
      </c>
      <c r="H152" s="81">
        <f>SUM(H146:H151)</f>
        <v>15.05</v>
      </c>
      <c r="I152" s="8"/>
      <c r="J152" s="8"/>
      <c r="K152" s="8"/>
      <c r="L152" s="3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</row>
    <row r="153" ht="12.75" customHeight="1">
      <c r="A153" s="1"/>
      <c r="B153" s="1"/>
      <c r="C153" s="1"/>
      <c r="D153" s="2"/>
      <c r="E153" s="1"/>
      <c r="F153" s="1"/>
      <c r="G153" s="34"/>
      <c r="H153" s="62"/>
      <c r="I153" s="1"/>
      <c r="J153" s="1"/>
      <c r="K153" s="1"/>
      <c r="L153" s="3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</row>
    <row r="154" ht="12.75" customHeight="1">
      <c r="A154" s="1"/>
      <c r="B154" s="1"/>
      <c r="C154" s="1"/>
      <c r="D154" s="2"/>
      <c r="E154" s="1"/>
      <c r="F154" s="1"/>
      <c r="G154" s="34"/>
      <c r="H154" s="62"/>
      <c r="I154" s="1"/>
      <c r="J154" s="1"/>
      <c r="K154" s="1"/>
      <c r="L154" s="3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</row>
    <row r="155" ht="12.75" customHeight="1">
      <c r="A155" s="22" t="s">
        <v>171</v>
      </c>
      <c r="B155" s="22" t="s">
        <v>172</v>
      </c>
      <c r="C155" s="22" t="s">
        <v>173</v>
      </c>
      <c r="D155" s="68" t="s">
        <v>174</v>
      </c>
      <c r="E155" s="22" t="s">
        <v>21</v>
      </c>
      <c r="F155" s="1"/>
      <c r="G155" s="34"/>
      <c r="H155" s="8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</row>
    <row r="156" ht="12.75" customHeight="1">
      <c r="A156" s="22"/>
      <c r="B156" s="22" t="s">
        <v>175</v>
      </c>
      <c r="C156" s="22" t="s">
        <v>176</v>
      </c>
      <c r="D156" s="68" t="s">
        <v>177</v>
      </c>
      <c r="E156" s="22" t="s">
        <v>178</v>
      </c>
      <c r="F156" s="1"/>
      <c r="G156" s="34"/>
      <c r="H156" s="8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</row>
    <row r="157" ht="12.75" customHeight="1">
      <c r="A157" s="1" t="s">
        <v>179</v>
      </c>
      <c r="B157" s="83">
        <v>0.0</v>
      </c>
      <c r="C157" s="83">
        <v>0.0</v>
      </c>
      <c r="D157" s="84">
        <v>1.2</v>
      </c>
      <c r="E157" s="83">
        <f t="shared" ref="E157:E165" si="36">B157*C157*D157</f>
        <v>0</v>
      </c>
      <c r="F157" s="1"/>
      <c r="G157" s="34"/>
      <c r="H157" s="3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</row>
    <row r="158" ht="12.75" customHeight="1">
      <c r="A158" s="1" t="s">
        <v>180</v>
      </c>
      <c r="B158" s="83">
        <v>0.0</v>
      </c>
      <c r="C158" s="1">
        <v>0.0</v>
      </c>
      <c r="D158" s="84">
        <v>1.5</v>
      </c>
      <c r="E158" s="83">
        <f t="shared" si="36"/>
        <v>0</v>
      </c>
      <c r="F158" s="1"/>
      <c r="G158" s="34"/>
      <c r="H158" s="3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</row>
    <row r="159" ht="12.75" customHeight="1">
      <c r="A159" s="1" t="s">
        <v>181</v>
      </c>
      <c r="B159" s="83">
        <v>0.0</v>
      </c>
      <c r="C159" s="83">
        <v>0.0</v>
      </c>
      <c r="D159" s="84">
        <v>1.5</v>
      </c>
      <c r="E159" s="83">
        <f t="shared" si="36"/>
        <v>0</v>
      </c>
      <c r="F159" s="1"/>
      <c r="G159" s="34"/>
      <c r="H159" s="6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</row>
    <row r="160" ht="12.75" customHeight="1">
      <c r="A160" s="1" t="s">
        <v>182</v>
      </c>
      <c r="B160" s="83">
        <v>0.0</v>
      </c>
      <c r="C160" s="83">
        <v>0.0</v>
      </c>
      <c r="D160" s="84">
        <v>10.0</v>
      </c>
      <c r="E160" s="83">
        <f t="shared" si="36"/>
        <v>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</row>
    <row r="161" ht="12.75" customHeight="1">
      <c r="A161" s="1" t="s">
        <v>183</v>
      </c>
      <c r="B161" s="83">
        <v>0.0</v>
      </c>
      <c r="C161" s="83">
        <v>0.0</v>
      </c>
      <c r="D161" s="84">
        <v>30.0</v>
      </c>
      <c r="E161" s="83">
        <f t="shared" si="36"/>
        <v>0</v>
      </c>
      <c r="F161" s="1"/>
      <c r="G161" s="1"/>
      <c r="H161" s="1"/>
      <c r="I161" s="1"/>
      <c r="J161" s="1"/>
      <c r="K161" s="1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6"/>
      <c r="CO161" s="56"/>
      <c r="CP161" s="56"/>
      <c r="CQ161" s="56"/>
      <c r="CR161" s="56"/>
      <c r="CS161" s="56"/>
    </row>
    <row r="162" ht="12.75" customHeight="1">
      <c r="A162" s="1" t="s">
        <v>184</v>
      </c>
      <c r="B162" s="83">
        <v>0.0</v>
      </c>
      <c r="C162" s="1">
        <v>0.0</v>
      </c>
      <c r="D162" s="84">
        <v>0.12</v>
      </c>
      <c r="E162" s="83">
        <f t="shared" si="36"/>
        <v>0</v>
      </c>
      <c r="F162" s="1"/>
      <c r="G162" s="1"/>
      <c r="H162" s="1"/>
      <c r="I162" s="1"/>
      <c r="J162" s="1"/>
      <c r="K162" s="1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</row>
    <row r="163" ht="12.75" customHeight="1">
      <c r="A163" s="1" t="s">
        <v>185</v>
      </c>
      <c r="B163" s="83">
        <v>0.0</v>
      </c>
      <c r="C163" s="1">
        <v>0.0</v>
      </c>
      <c r="D163" s="84">
        <v>0.37</v>
      </c>
      <c r="E163" s="83">
        <f t="shared" si="36"/>
        <v>0</v>
      </c>
      <c r="F163" s="1"/>
      <c r="G163" s="1"/>
      <c r="H163" s="1"/>
      <c r="I163" s="1"/>
      <c r="J163" s="1"/>
      <c r="K163" s="1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</row>
    <row r="164" ht="12.75" customHeight="1">
      <c r="A164" s="1" t="s">
        <v>186</v>
      </c>
      <c r="B164" s="83">
        <v>0.0</v>
      </c>
      <c r="C164" s="1">
        <v>0.0</v>
      </c>
      <c r="D164" s="84">
        <v>3.5</v>
      </c>
      <c r="E164" s="83">
        <f t="shared" si="36"/>
        <v>0</v>
      </c>
      <c r="F164" s="1"/>
      <c r="G164" s="1"/>
      <c r="H164" s="1"/>
      <c r="I164" s="1"/>
      <c r="J164" s="1"/>
      <c r="K164" s="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</row>
    <row r="165" ht="12.75" customHeight="1">
      <c r="A165" s="1" t="s">
        <v>187</v>
      </c>
      <c r="B165" s="83">
        <v>0.0</v>
      </c>
      <c r="C165" s="1">
        <v>0.0</v>
      </c>
      <c r="D165" s="84">
        <v>2.5</v>
      </c>
      <c r="E165" s="83">
        <f t="shared" si="36"/>
        <v>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</row>
    <row r="167" ht="12.75" customHeight="1">
      <c r="A167" s="1" t="s">
        <v>188</v>
      </c>
      <c r="B167" s="1"/>
      <c r="C167" s="1"/>
      <c r="D167" s="2"/>
      <c r="E167" s="31">
        <f>SUM(E157:E166)/12</f>
        <v>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</row>
    <row r="169" ht="12.75" customHeight="1">
      <c r="A169" s="1" t="s">
        <v>189</v>
      </c>
      <c r="B169" s="1"/>
      <c r="C169" s="1"/>
      <c r="D169" s="2">
        <v>3.87</v>
      </c>
      <c r="E169" s="1">
        <v>2.2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</row>
    <row r="1001" ht="12.75" customHeight="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</row>
    <row r="1002" ht="12.75" customHeight="1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</row>
    <row r="1003" ht="12.75" customHeight="1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</row>
  </sheetData>
  <mergeCells count="1">
    <mergeCell ref="B8:E8"/>
  </mergeCells>
  <conditionalFormatting sqref="E149">
    <cfRule type="cellIs" dxfId="0" priority="1" operator="lessThan">
      <formula>30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7.0"/>
    <col customWidth="1" min="3" max="3" width="14.71"/>
    <col customWidth="1" min="4" max="4" width="18.71"/>
    <col customWidth="1" min="5" max="5" width="12.71"/>
    <col customWidth="1" min="6" max="6" width="11.43"/>
    <col customWidth="1" min="7" max="7" width="20.43"/>
    <col customWidth="1" min="8" max="9" width="15.14"/>
    <col customWidth="1" min="10" max="10" width="12.43"/>
    <col customWidth="1" min="11" max="11" width="13.71"/>
    <col customWidth="1" min="12" max="12" width="17.43"/>
    <col customWidth="1" min="13" max="13" width="11.43"/>
    <col customWidth="1" min="14" max="14" width="16.29"/>
    <col customWidth="1" min="15" max="15" width="11.43"/>
    <col customWidth="1" min="16" max="16" width="9.0"/>
    <col customWidth="1" min="17" max="17" width="16.14"/>
    <col customWidth="1" min="18" max="97" width="11.43"/>
  </cols>
  <sheetData>
    <row r="1" ht="12.75" customHeight="1">
      <c r="A1" s="1"/>
      <c r="B1" s="1"/>
      <c r="C1" s="1"/>
      <c r="D1" s="2"/>
      <c r="E1" s="1"/>
      <c r="F1" s="1"/>
      <c r="G1" s="1"/>
      <c r="H1" s="3" t="s">
        <v>0</v>
      </c>
      <c r="I1" s="4" t="s">
        <v>1</v>
      </c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ht="12.75" customHeight="1">
      <c r="A2" s="1"/>
      <c r="B2" s="1"/>
      <c r="C2" s="1"/>
      <c r="D2" s="2" t="s">
        <v>2</v>
      </c>
      <c r="E2" s="1"/>
      <c r="F2" s="1"/>
      <c r="G2" s="1"/>
      <c r="H2" s="6">
        <v>2.01</v>
      </c>
      <c r="I2" s="5"/>
      <c r="J2" s="5"/>
      <c r="K2" s="5"/>
      <c r="L2" s="7" t="s">
        <v>0</v>
      </c>
      <c r="M2" s="7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ht="12.75" customHeight="1">
      <c r="A3" s="8" t="s">
        <v>3</v>
      </c>
      <c r="B3" s="1"/>
      <c r="C3" s="1"/>
      <c r="D3" s="9" t="s">
        <v>4</v>
      </c>
      <c r="E3" s="1"/>
      <c r="F3" s="1"/>
      <c r="G3" s="1"/>
      <c r="H3" s="6">
        <v>3.02</v>
      </c>
      <c r="I3" s="5"/>
      <c r="J3" s="10" t="s">
        <v>5</v>
      </c>
      <c r="K3" s="11"/>
      <c r="L3" s="12">
        <v>475.0</v>
      </c>
      <c r="M3" s="13">
        <f>L3/2</f>
        <v>237.5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ht="12.75" customHeight="1">
      <c r="A4" s="14"/>
      <c r="B4" s="15" t="s">
        <v>190</v>
      </c>
      <c r="C4" s="1"/>
      <c r="D4" s="9" t="s">
        <v>7</v>
      </c>
      <c r="E4" s="1"/>
      <c r="F4" s="1"/>
      <c r="G4" s="1"/>
      <c r="H4" s="6">
        <v>4.02</v>
      </c>
      <c r="I4" s="5"/>
      <c r="J4" s="10" t="s">
        <v>8</v>
      </c>
      <c r="K4" s="11"/>
      <c r="L4" s="12">
        <v>485.0</v>
      </c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ht="12.75" customHeight="1">
      <c r="A5" s="16"/>
      <c r="B5" s="1"/>
      <c r="C5" s="1"/>
      <c r="D5" s="9" t="s">
        <v>9</v>
      </c>
      <c r="E5" s="1"/>
      <c r="F5" s="1"/>
      <c r="G5" s="1"/>
      <c r="H5" s="6">
        <v>0.5</v>
      </c>
      <c r="I5" s="5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ht="12.75" customHeight="1">
      <c r="A6" s="1"/>
      <c r="B6" s="1"/>
      <c r="C6" s="1"/>
      <c r="D6" s="17" t="s">
        <v>10</v>
      </c>
      <c r="E6" s="1"/>
      <c r="F6" s="1"/>
      <c r="G6" s="1"/>
      <c r="H6" s="18">
        <v>0.455</v>
      </c>
      <c r="I6" s="19">
        <v>0.5066</v>
      </c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ht="12.75" customHeight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20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ht="12.75" customHeight="1">
      <c r="A8" s="21" t="s">
        <v>11</v>
      </c>
      <c r="B8" s="22" t="s">
        <v>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ht="12.75" customHeight="1">
      <c r="A9" s="1"/>
      <c r="B9" s="1"/>
      <c r="C9" s="23" t="s">
        <v>13</v>
      </c>
      <c r="D9" s="2" t="s">
        <v>14</v>
      </c>
      <c r="E9" s="23" t="s">
        <v>13</v>
      </c>
      <c r="F9" s="23" t="s">
        <v>15</v>
      </c>
      <c r="G9" s="23" t="s">
        <v>16</v>
      </c>
      <c r="H9" s="23" t="s">
        <v>17</v>
      </c>
      <c r="I9" s="23" t="s">
        <v>18</v>
      </c>
      <c r="J9" s="23" t="s">
        <v>19</v>
      </c>
      <c r="K9" s="23" t="s">
        <v>20</v>
      </c>
      <c r="L9" s="23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ht="12.75" customHeight="1">
      <c r="A10" s="22" t="s">
        <v>22</v>
      </c>
      <c r="B10" s="23" t="s">
        <v>23</v>
      </c>
      <c r="C10" s="23" t="s">
        <v>24</v>
      </c>
      <c r="D10" s="2" t="s">
        <v>25</v>
      </c>
      <c r="E10" s="23" t="s">
        <v>24</v>
      </c>
      <c r="F10" s="23" t="s">
        <v>26</v>
      </c>
      <c r="G10" s="23" t="s">
        <v>27</v>
      </c>
      <c r="H10" s="23" t="s">
        <v>27</v>
      </c>
      <c r="I10" s="23" t="s">
        <v>28</v>
      </c>
      <c r="J10" s="23" t="s">
        <v>29</v>
      </c>
      <c r="K10" s="23"/>
      <c r="L10" s="23" t="s">
        <v>30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ht="12.75" customHeight="1">
      <c r="A11" s="23"/>
      <c r="B11" s="1"/>
      <c r="C11" s="1"/>
      <c r="D11" s="2"/>
      <c r="E11" s="1"/>
      <c r="F11" s="1"/>
      <c r="G11" s="24">
        <v>4.3</v>
      </c>
      <c r="H11" s="1"/>
      <c r="I11" s="23" t="s">
        <v>31</v>
      </c>
      <c r="J11" s="24">
        <f>G11</f>
        <v>4.3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ht="12.75" customHeight="1">
      <c r="A12" s="23"/>
      <c r="B12" s="25"/>
      <c r="C12" s="23">
        <v>40.0</v>
      </c>
      <c r="D12" s="25"/>
      <c r="E12" s="23"/>
      <c r="F12" s="26">
        <v>487.64</v>
      </c>
      <c r="G12" s="27">
        <v>0.0</v>
      </c>
      <c r="H12" s="23">
        <f t="shared" ref="H12:H20" si="1">G12*$H$4*$G$11</f>
        <v>0</v>
      </c>
      <c r="I12" s="27"/>
      <c r="J12" s="28">
        <f t="shared" ref="J12:J20" si="2">I12*$H$5*$J$11</f>
        <v>0</v>
      </c>
      <c r="K12" s="29"/>
      <c r="L12" s="28">
        <f t="shared" ref="L12:L20" si="3">F12+H12+J12+K12</f>
        <v>487.64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ht="12.75" customHeight="1">
      <c r="A13" s="23"/>
      <c r="B13" s="25"/>
      <c r="C13" s="23">
        <v>40.0</v>
      </c>
      <c r="D13" s="25"/>
      <c r="E13" s="23"/>
      <c r="F13" s="26">
        <v>487.64</v>
      </c>
      <c r="G13" s="27">
        <f t="shared" ref="G13:G16" si="4">E13*H5</f>
        <v>0</v>
      </c>
      <c r="H13" s="23">
        <f t="shared" si="1"/>
        <v>0</v>
      </c>
      <c r="I13" s="27"/>
      <c r="J13" s="28">
        <f t="shared" si="2"/>
        <v>0</v>
      </c>
      <c r="K13" s="29"/>
      <c r="L13" s="28">
        <f t="shared" si="3"/>
        <v>487.64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ht="12.75" customHeight="1">
      <c r="A14" s="23"/>
      <c r="B14" s="25"/>
      <c r="C14" s="23">
        <v>40.0</v>
      </c>
      <c r="D14" s="30"/>
      <c r="E14" s="23"/>
      <c r="F14" s="26">
        <v>487.64</v>
      </c>
      <c r="G14" s="27">
        <f t="shared" si="4"/>
        <v>0</v>
      </c>
      <c r="H14" s="23">
        <f t="shared" si="1"/>
        <v>0</v>
      </c>
      <c r="I14" s="27"/>
      <c r="J14" s="28">
        <f t="shared" si="2"/>
        <v>0</v>
      </c>
      <c r="K14" s="29"/>
      <c r="L14" s="28">
        <f t="shared" si="3"/>
        <v>487.64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ht="12.75" customHeight="1">
      <c r="A15" s="23"/>
      <c r="B15" s="25"/>
      <c r="C15" s="23">
        <v>40.0</v>
      </c>
      <c r="D15" s="30"/>
      <c r="E15" s="23"/>
      <c r="F15" s="26">
        <v>487.64</v>
      </c>
      <c r="G15" s="27">
        <f t="shared" si="4"/>
        <v>0</v>
      </c>
      <c r="H15" s="23">
        <f t="shared" si="1"/>
        <v>0</v>
      </c>
      <c r="I15" s="27"/>
      <c r="J15" s="28">
        <f t="shared" si="2"/>
        <v>0</v>
      </c>
      <c r="K15" s="29"/>
      <c r="L15" s="28">
        <f t="shared" si="3"/>
        <v>487.64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ht="12.75" customHeight="1">
      <c r="A16" s="23"/>
      <c r="B16" s="25"/>
      <c r="C16" s="23">
        <v>40.0</v>
      </c>
      <c r="D16" s="30"/>
      <c r="E16" s="23"/>
      <c r="F16" s="26">
        <v>487.64</v>
      </c>
      <c r="G16" s="27">
        <f t="shared" si="4"/>
        <v>0</v>
      </c>
      <c r="H16" s="23">
        <f t="shared" si="1"/>
        <v>0</v>
      </c>
      <c r="I16" s="27"/>
      <c r="J16" s="28">
        <f t="shared" si="2"/>
        <v>0</v>
      </c>
      <c r="K16" s="29"/>
      <c r="L16" s="28">
        <f t="shared" si="3"/>
        <v>487.64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ht="12.75" customHeight="1">
      <c r="A17" s="23"/>
      <c r="B17" s="25"/>
      <c r="C17" s="23">
        <v>40.0</v>
      </c>
      <c r="D17" s="30"/>
      <c r="E17" s="23"/>
      <c r="F17" s="26">
        <v>487.64</v>
      </c>
      <c r="G17" s="27">
        <v>0.0</v>
      </c>
      <c r="H17" s="23">
        <f t="shared" si="1"/>
        <v>0</v>
      </c>
      <c r="I17" s="27"/>
      <c r="J17" s="28">
        <f t="shared" si="2"/>
        <v>0</v>
      </c>
      <c r="K17" s="29"/>
      <c r="L17" s="28">
        <f t="shared" si="3"/>
        <v>487.64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</row>
    <row r="18" ht="12.75" customHeight="1">
      <c r="A18" s="23"/>
      <c r="B18" s="25"/>
      <c r="C18" s="23">
        <v>40.0</v>
      </c>
      <c r="D18" s="30"/>
      <c r="E18" s="23"/>
      <c r="F18" s="26">
        <v>487.64</v>
      </c>
      <c r="G18" s="27">
        <v>0.0</v>
      </c>
      <c r="H18" s="23">
        <f t="shared" si="1"/>
        <v>0</v>
      </c>
      <c r="I18" s="27"/>
      <c r="J18" s="28">
        <f t="shared" si="2"/>
        <v>0</v>
      </c>
      <c r="K18" s="29"/>
      <c r="L18" s="28">
        <f t="shared" si="3"/>
        <v>487.64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 ht="12.75" customHeight="1">
      <c r="A19" s="23"/>
      <c r="B19" s="25"/>
      <c r="C19" s="23">
        <v>40.0</v>
      </c>
      <c r="D19" s="30"/>
      <c r="E19" s="23"/>
      <c r="F19" s="26">
        <v>487.64</v>
      </c>
      <c r="G19" s="27">
        <f t="shared" ref="G19:G20" si="5">E19*H11</f>
        <v>0</v>
      </c>
      <c r="H19" s="23">
        <f t="shared" si="1"/>
        <v>0</v>
      </c>
      <c r="I19" s="27"/>
      <c r="J19" s="28">
        <f t="shared" si="2"/>
        <v>0</v>
      </c>
      <c r="K19" s="29"/>
      <c r="L19" s="28">
        <f t="shared" si="3"/>
        <v>487.64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 ht="12.75" customHeight="1">
      <c r="A20" s="23"/>
      <c r="B20" s="25"/>
      <c r="C20" s="23">
        <v>40.0</v>
      </c>
      <c r="D20" s="30"/>
      <c r="E20" s="23"/>
      <c r="F20" s="26">
        <v>487.64</v>
      </c>
      <c r="G20" s="27">
        <f t="shared" si="5"/>
        <v>0</v>
      </c>
      <c r="H20" s="23">
        <f t="shared" si="1"/>
        <v>0</v>
      </c>
      <c r="I20" s="27"/>
      <c r="J20" s="28">
        <f t="shared" si="2"/>
        <v>0</v>
      </c>
      <c r="K20" s="29"/>
      <c r="L20" s="28">
        <f t="shared" si="3"/>
        <v>487.64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</row>
    <row r="21" ht="12.75" customHeight="1">
      <c r="A21" s="23">
        <f>SUM(A12:A20)</f>
        <v>0</v>
      </c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3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ht="12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</row>
    <row r="23" ht="12.75" customHeight="1">
      <c r="A23" s="21" t="s">
        <v>32</v>
      </c>
      <c r="B23" s="21" t="s">
        <v>33</v>
      </c>
      <c r="C23" s="21" t="s">
        <v>34</v>
      </c>
      <c r="D23" s="32" t="s">
        <v>35</v>
      </c>
      <c r="E23" s="21" t="s">
        <v>36</v>
      </c>
      <c r="F23" s="21"/>
      <c r="G23" s="23" t="s">
        <v>37</v>
      </c>
      <c r="H23" s="23" t="s">
        <v>13</v>
      </c>
      <c r="I23" s="23" t="s">
        <v>38</v>
      </c>
      <c r="J23" s="21"/>
      <c r="K23" s="33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</row>
    <row r="24" ht="12.75" customHeight="1">
      <c r="A24" s="34" t="s">
        <v>39</v>
      </c>
      <c r="B24" s="35" t="s">
        <v>40</v>
      </c>
      <c r="C24" s="36"/>
      <c r="D24" s="37">
        <v>2.47</v>
      </c>
      <c r="E24" s="38">
        <f t="shared" ref="E24:E67" si="6">D24*C24</f>
        <v>0</v>
      </c>
      <c r="F24" s="39"/>
      <c r="G24" s="23" t="s">
        <v>41</v>
      </c>
      <c r="H24" s="23" t="s">
        <v>15</v>
      </c>
      <c r="I24" s="23" t="s">
        <v>42</v>
      </c>
      <c r="J24" s="1"/>
      <c r="K24" s="1"/>
      <c r="L24" s="3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37">
        <v>2.93</v>
      </c>
      <c r="CR24" s="39">
        <f t="shared" ref="CR24:CR44" si="7">CQ24*5%</f>
        <v>0.1465</v>
      </c>
      <c r="CS24" s="39">
        <f t="shared" ref="CS24:CS44" si="8">CQ24+CR24</f>
        <v>3.0765</v>
      </c>
    </row>
    <row r="25" ht="12.75" customHeight="1">
      <c r="A25" s="34" t="s">
        <v>43</v>
      </c>
      <c r="B25" s="35" t="s">
        <v>44</v>
      </c>
      <c r="C25" s="36"/>
      <c r="D25" s="37">
        <v>1.65</v>
      </c>
      <c r="E25" s="38">
        <f t="shared" si="6"/>
        <v>0</v>
      </c>
      <c r="F25" s="39"/>
      <c r="G25" s="1"/>
      <c r="H25" s="1"/>
      <c r="I25" s="1"/>
      <c r="J25" s="1"/>
      <c r="K25" s="1"/>
      <c r="L25" s="3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37">
        <v>1.24</v>
      </c>
      <c r="CR25" s="39">
        <f t="shared" si="7"/>
        <v>0.062</v>
      </c>
      <c r="CS25" s="39">
        <f t="shared" si="8"/>
        <v>1.302</v>
      </c>
    </row>
    <row r="26" ht="12.75" customHeight="1">
      <c r="A26" s="34" t="s">
        <v>45</v>
      </c>
      <c r="B26" s="35" t="s">
        <v>44</v>
      </c>
      <c r="C26" s="36"/>
      <c r="D26" s="37">
        <v>1.55</v>
      </c>
      <c r="E26" s="38">
        <f t="shared" si="6"/>
        <v>0</v>
      </c>
      <c r="F26" s="39"/>
      <c r="G26" s="28">
        <f t="shared" ref="G26:G34" si="9">L12*$H$6</f>
        <v>221.8762</v>
      </c>
      <c r="H26" s="28">
        <f t="shared" ref="H26:H34" si="10">L12+G26</f>
        <v>709.5162</v>
      </c>
      <c r="I26" s="28">
        <f t="shared" ref="I26:I34" si="11">H26*A12</f>
        <v>0</v>
      </c>
      <c r="J26" s="1"/>
      <c r="K26" s="1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37">
        <v>1.66</v>
      </c>
      <c r="CR26" s="39">
        <f t="shared" si="7"/>
        <v>0.083</v>
      </c>
      <c r="CS26" s="39">
        <f t="shared" si="8"/>
        <v>1.743</v>
      </c>
    </row>
    <row r="27" ht="12.75" customHeight="1">
      <c r="A27" s="34" t="s">
        <v>46</v>
      </c>
      <c r="B27" s="35" t="s">
        <v>47</v>
      </c>
      <c r="C27" s="36"/>
      <c r="D27" s="37">
        <v>2.88</v>
      </c>
      <c r="E27" s="38">
        <f t="shared" si="6"/>
        <v>0</v>
      </c>
      <c r="F27" s="39"/>
      <c r="G27" s="28">
        <f t="shared" si="9"/>
        <v>221.8762</v>
      </c>
      <c r="H27" s="28">
        <f t="shared" si="10"/>
        <v>709.5162</v>
      </c>
      <c r="I27" s="28">
        <f t="shared" si="11"/>
        <v>0</v>
      </c>
      <c r="J27" s="1"/>
      <c r="K27" s="1"/>
      <c r="L27" s="3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37">
        <v>1.82</v>
      </c>
      <c r="CR27" s="39">
        <f t="shared" si="7"/>
        <v>0.091</v>
      </c>
      <c r="CS27" s="39">
        <f t="shared" si="8"/>
        <v>1.911</v>
      </c>
    </row>
    <row r="28" ht="12.75" customHeight="1">
      <c r="A28" s="34" t="s">
        <v>48</v>
      </c>
      <c r="B28" s="35" t="s">
        <v>47</v>
      </c>
      <c r="C28" s="36"/>
      <c r="D28" s="37">
        <v>0.89</v>
      </c>
      <c r="E28" s="38">
        <f t="shared" si="6"/>
        <v>0</v>
      </c>
      <c r="F28" s="39"/>
      <c r="G28" s="28">
        <f t="shared" si="9"/>
        <v>221.8762</v>
      </c>
      <c r="H28" s="28">
        <f t="shared" si="10"/>
        <v>709.5162</v>
      </c>
      <c r="I28" s="28">
        <f t="shared" si="11"/>
        <v>0</v>
      </c>
      <c r="J28" s="1"/>
      <c r="K28" s="1"/>
      <c r="L28" s="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37">
        <v>2.8</v>
      </c>
      <c r="CR28" s="39">
        <f t="shared" si="7"/>
        <v>0.14</v>
      </c>
      <c r="CS28" s="39">
        <f t="shared" si="8"/>
        <v>2.94</v>
      </c>
    </row>
    <row r="29" ht="12.75" customHeight="1">
      <c r="A29" s="34" t="s">
        <v>49</v>
      </c>
      <c r="B29" s="35" t="s">
        <v>47</v>
      </c>
      <c r="C29" s="36"/>
      <c r="D29" s="37">
        <v>4.31</v>
      </c>
      <c r="E29" s="38">
        <f t="shared" si="6"/>
        <v>0</v>
      </c>
      <c r="F29" s="39"/>
      <c r="G29" s="28">
        <f t="shared" si="9"/>
        <v>221.8762</v>
      </c>
      <c r="H29" s="28">
        <f t="shared" si="10"/>
        <v>709.5162</v>
      </c>
      <c r="I29" s="28">
        <f t="shared" si="11"/>
        <v>0</v>
      </c>
      <c r="J29" s="1"/>
      <c r="K29" s="1"/>
      <c r="L29" s="3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37">
        <v>1.05</v>
      </c>
      <c r="CR29" s="39">
        <f t="shared" si="7"/>
        <v>0.0525</v>
      </c>
      <c r="CS29" s="39">
        <f t="shared" si="8"/>
        <v>1.1025</v>
      </c>
    </row>
    <row r="30" ht="12.75" customHeight="1">
      <c r="A30" s="34" t="s">
        <v>50</v>
      </c>
      <c r="B30" s="35" t="s">
        <v>47</v>
      </c>
      <c r="C30" s="36"/>
      <c r="D30" s="37">
        <v>0.86</v>
      </c>
      <c r="E30" s="38">
        <f t="shared" si="6"/>
        <v>0</v>
      </c>
      <c r="F30" s="39"/>
      <c r="G30" s="28">
        <f t="shared" si="9"/>
        <v>221.8762</v>
      </c>
      <c r="H30" s="28">
        <f t="shared" si="10"/>
        <v>709.5162</v>
      </c>
      <c r="I30" s="28">
        <f t="shared" si="11"/>
        <v>0</v>
      </c>
      <c r="J30" s="1"/>
      <c r="K30" s="1"/>
      <c r="L30" s="3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37">
        <v>8.64</v>
      </c>
      <c r="CR30" s="39">
        <f t="shared" si="7"/>
        <v>0.432</v>
      </c>
      <c r="CS30" s="39">
        <f t="shared" si="8"/>
        <v>9.072</v>
      </c>
    </row>
    <row r="31" ht="12.75" customHeight="1">
      <c r="A31" s="34" t="s">
        <v>51</v>
      </c>
      <c r="B31" s="35" t="s">
        <v>47</v>
      </c>
      <c r="C31" s="36"/>
      <c r="D31" s="37">
        <v>2.27</v>
      </c>
      <c r="E31" s="38">
        <f t="shared" si="6"/>
        <v>0</v>
      </c>
      <c r="F31" s="39"/>
      <c r="G31" s="28">
        <f t="shared" si="9"/>
        <v>221.8762</v>
      </c>
      <c r="H31" s="28">
        <f t="shared" si="10"/>
        <v>709.5162</v>
      </c>
      <c r="I31" s="28">
        <f t="shared" si="11"/>
        <v>0</v>
      </c>
      <c r="J31" s="1"/>
      <c r="K31" s="1"/>
      <c r="L31" s="3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37">
        <v>1.3</v>
      </c>
      <c r="CR31" s="39">
        <f t="shared" si="7"/>
        <v>0.065</v>
      </c>
      <c r="CS31" s="39">
        <f t="shared" si="8"/>
        <v>1.365</v>
      </c>
    </row>
    <row r="32" ht="12.75" customHeight="1">
      <c r="A32" s="34" t="s">
        <v>52</v>
      </c>
      <c r="B32" s="35" t="s">
        <v>47</v>
      </c>
      <c r="C32" s="36"/>
      <c r="D32" s="37">
        <v>0.72</v>
      </c>
      <c r="E32" s="38">
        <f t="shared" si="6"/>
        <v>0</v>
      </c>
      <c r="F32" s="39"/>
      <c r="G32" s="28">
        <f t="shared" si="9"/>
        <v>221.8762</v>
      </c>
      <c r="H32" s="28">
        <f t="shared" si="10"/>
        <v>709.5162</v>
      </c>
      <c r="I32" s="28">
        <f t="shared" si="11"/>
        <v>0</v>
      </c>
      <c r="J32" s="1"/>
      <c r="K32" s="1"/>
      <c r="L32" s="3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37">
        <v>0.85</v>
      </c>
      <c r="CR32" s="39">
        <f t="shared" si="7"/>
        <v>0.0425</v>
      </c>
      <c r="CS32" s="39">
        <f t="shared" si="8"/>
        <v>0.8925</v>
      </c>
    </row>
    <row r="33" ht="12.75" customHeight="1">
      <c r="A33" s="34" t="s">
        <v>53</v>
      </c>
      <c r="B33" s="35" t="s">
        <v>47</v>
      </c>
      <c r="C33" s="36"/>
      <c r="D33" s="37">
        <v>1.34</v>
      </c>
      <c r="E33" s="38">
        <f t="shared" si="6"/>
        <v>0</v>
      </c>
      <c r="F33" s="39"/>
      <c r="G33" s="28">
        <f t="shared" si="9"/>
        <v>221.8762</v>
      </c>
      <c r="H33" s="28">
        <f t="shared" si="10"/>
        <v>709.5162</v>
      </c>
      <c r="I33" s="28">
        <f t="shared" si="11"/>
        <v>0</v>
      </c>
      <c r="J33" s="1"/>
      <c r="K33" s="1"/>
      <c r="L33" s="3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37">
        <v>2.35</v>
      </c>
      <c r="CR33" s="39">
        <f t="shared" si="7"/>
        <v>0.1175</v>
      </c>
      <c r="CS33" s="39">
        <f t="shared" si="8"/>
        <v>2.4675</v>
      </c>
    </row>
    <row r="34" ht="12.75" customHeight="1">
      <c r="A34" s="34" t="s">
        <v>54</v>
      </c>
      <c r="B34" s="35" t="s">
        <v>44</v>
      </c>
      <c r="C34" s="36"/>
      <c r="D34" s="37">
        <v>2.0</v>
      </c>
      <c r="E34" s="38">
        <f t="shared" si="6"/>
        <v>0</v>
      </c>
      <c r="F34" s="39"/>
      <c r="G34" s="28">
        <f t="shared" si="9"/>
        <v>221.8762</v>
      </c>
      <c r="H34" s="28">
        <f t="shared" si="10"/>
        <v>709.5162</v>
      </c>
      <c r="I34" s="28">
        <f t="shared" si="11"/>
        <v>0</v>
      </c>
      <c r="J34" s="1"/>
      <c r="K34" s="1"/>
      <c r="L34" s="3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37">
        <v>1.83</v>
      </c>
      <c r="CR34" s="39">
        <f t="shared" si="7"/>
        <v>0.0915</v>
      </c>
      <c r="CS34" s="39">
        <f t="shared" si="8"/>
        <v>1.9215</v>
      </c>
    </row>
    <row r="35" ht="12.75" customHeight="1">
      <c r="A35" s="34" t="s">
        <v>55</v>
      </c>
      <c r="B35" s="35" t="s">
        <v>47</v>
      </c>
      <c r="C35" s="36"/>
      <c r="D35" s="37">
        <v>1.5</v>
      </c>
      <c r="E35" s="38">
        <f t="shared" si="6"/>
        <v>0</v>
      </c>
      <c r="F35" s="39"/>
      <c r="G35" s="1"/>
      <c r="H35" s="1"/>
      <c r="I35" s="1"/>
      <c r="J35" s="1"/>
      <c r="K35" s="1"/>
      <c r="L35" s="3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37">
        <v>7.5</v>
      </c>
      <c r="CR35" s="39">
        <f t="shared" si="7"/>
        <v>0.375</v>
      </c>
      <c r="CS35" s="39">
        <f t="shared" si="8"/>
        <v>7.875</v>
      </c>
    </row>
    <row r="36" ht="12.75" customHeight="1">
      <c r="A36" s="34" t="s">
        <v>56</v>
      </c>
      <c r="B36" s="35" t="s">
        <v>44</v>
      </c>
      <c r="C36" s="36"/>
      <c r="D36" s="37">
        <v>0.61</v>
      </c>
      <c r="E36" s="38">
        <f t="shared" si="6"/>
        <v>0</v>
      </c>
      <c r="F36" s="39"/>
      <c r="G36" s="1" t="s">
        <v>57</v>
      </c>
      <c r="H36" s="1"/>
      <c r="I36" s="40">
        <f>SUM(I26:I34)</f>
        <v>0</v>
      </c>
      <c r="J36" s="1"/>
      <c r="K36" s="1"/>
      <c r="L36" s="3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37">
        <v>0.9</v>
      </c>
      <c r="CR36" s="39">
        <f t="shared" si="7"/>
        <v>0.045</v>
      </c>
      <c r="CS36" s="39">
        <f t="shared" si="8"/>
        <v>0.945</v>
      </c>
    </row>
    <row r="37" ht="12.75" customHeight="1">
      <c r="A37" s="34" t="s">
        <v>58</v>
      </c>
      <c r="B37" s="35" t="s">
        <v>59</v>
      </c>
      <c r="C37" s="36"/>
      <c r="D37" s="37">
        <v>0.7</v>
      </c>
      <c r="E37" s="38">
        <f t="shared" si="6"/>
        <v>0</v>
      </c>
      <c r="F37" s="39"/>
      <c r="G37" s="1"/>
      <c r="H37" s="1"/>
      <c r="I37" s="1"/>
      <c r="J37" s="1"/>
      <c r="K37" s="1"/>
      <c r="L37" s="3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37">
        <v>0.95</v>
      </c>
      <c r="CR37" s="39">
        <f t="shared" si="7"/>
        <v>0.0475</v>
      </c>
      <c r="CS37" s="39">
        <f t="shared" si="8"/>
        <v>0.9975</v>
      </c>
    </row>
    <row r="38" ht="12.75" customHeight="1">
      <c r="A38" s="34" t="s">
        <v>60</v>
      </c>
      <c r="B38" s="35" t="s">
        <v>47</v>
      </c>
      <c r="C38" s="36"/>
      <c r="D38" s="37">
        <v>1.14</v>
      </c>
      <c r="E38" s="38">
        <f t="shared" si="6"/>
        <v>0</v>
      </c>
      <c r="F38" s="39"/>
      <c r="G38" s="1"/>
      <c r="H38" s="1"/>
      <c r="I38" s="1"/>
      <c r="J38" s="1"/>
      <c r="K38" s="1"/>
      <c r="L38" s="3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37">
        <v>1.22</v>
      </c>
      <c r="CR38" s="39">
        <f t="shared" si="7"/>
        <v>0.061</v>
      </c>
      <c r="CS38" s="39">
        <f t="shared" si="8"/>
        <v>1.281</v>
      </c>
    </row>
    <row r="39" ht="12.75" customHeight="1">
      <c r="A39" s="34" t="s">
        <v>61</v>
      </c>
      <c r="B39" s="35" t="s">
        <v>47</v>
      </c>
      <c r="C39" s="36"/>
      <c r="D39" s="37">
        <v>1.14</v>
      </c>
      <c r="E39" s="38">
        <f t="shared" si="6"/>
        <v>0</v>
      </c>
      <c r="F39" s="39"/>
      <c r="G39" s="1"/>
      <c r="H39" s="1"/>
      <c r="I39" s="1"/>
      <c r="J39" s="1"/>
      <c r="K39" s="1"/>
      <c r="L39" s="3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37">
        <v>1.76</v>
      </c>
      <c r="CR39" s="39">
        <f t="shared" si="7"/>
        <v>0.088</v>
      </c>
      <c r="CS39" s="39">
        <f t="shared" si="8"/>
        <v>1.848</v>
      </c>
    </row>
    <row r="40" ht="12.75" customHeight="1">
      <c r="A40" s="34" t="s">
        <v>62</v>
      </c>
      <c r="B40" s="35" t="s">
        <v>47</v>
      </c>
      <c r="C40" s="36"/>
      <c r="D40" s="37">
        <v>1.1</v>
      </c>
      <c r="E40" s="38">
        <f t="shared" si="6"/>
        <v>0</v>
      </c>
      <c r="F40" s="39"/>
      <c r="G40" s="1"/>
      <c r="H40" s="1"/>
      <c r="I40" s="1"/>
      <c r="J40" s="1"/>
      <c r="K40" s="1"/>
      <c r="L40" s="3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37">
        <v>2.6</v>
      </c>
      <c r="CR40" s="39">
        <f t="shared" si="7"/>
        <v>0.13</v>
      </c>
      <c r="CS40" s="39">
        <f t="shared" si="8"/>
        <v>2.73</v>
      </c>
    </row>
    <row r="41" ht="12.75" customHeight="1">
      <c r="A41" s="34" t="s">
        <v>63</v>
      </c>
      <c r="B41" s="35" t="s">
        <v>47</v>
      </c>
      <c r="C41" s="36"/>
      <c r="D41" s="37">
        <v>0.83</v>
      </c>
      <c r="E41" s="38">
        <f t="shared" si="6"/>
        <v>0</v>
      </c>
      <c r="F41" s="39"/>
      <c r="G41" s="1"/>
      <c r="H41" s="1"/>
      <c r="I41" s="1"/>
      <c r="J41" s="1"/>
      <c r="K41" s="1"/>
      <c r="L41" s="3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37">
        <v>1.43</v>
      </c>
      <c r="CR41" s="39">
        <f t="shared" si="7"/>
        <v>0.0715</v>
      </c>
      <c r="CS41" s="39">
        <f t="shared" si="8"/>
        <v>1.5015</v>
      </c>
    </row>
    <row r="42" ht="12.75" customHeight="1">
      <c r="A42" s="34" t="s">
        <v>64</v>
      </c>
      <c r="B42" s="35" t="s">
        <v>47</v>
      </c>
      <c r="C42" s="36"/>
      <c r="D42" s="41">
        <v>0.051</v>
      </c>
      <c r="E42" s="38">
        <f t="shared" si="6"/>
        <v>0</v>
      </c>
      <c r="F42" s="39"/>
      <c r="G42" s="1"/>
      <c r="H42" s="1"/>
      <c r="I42" s="1"/>
      <c r="J42" s="1"/>
      <c r="K42" s="1"/>
      <c r="L42" s="3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37">
        <v>0.61</v>
      </c>
      <c r="CR42" s="39">
        <f t="shared" si="7"/>
        <v>0.0305</v>
      </c>
      <c r="CS42" s="39">
        <f t="shared" si="8"/>
        <v>0.6405</v>
      </c>
    </row>
    <row r="43" ht="12.75" customHeight="1">
      <c r="A43" s="34" t="s">
        <v>65</v>
      </c>
      <c r="B43" s="35" t="s">
        <v>47</v>
      </c>
      <c r="C43" s="36"/>
      <c r="D43" s="41">
        <v>0.058</v>
      </c>
      <c r="E43" s="38">
        <f t="shared" si="6"/>
        <v>0</v>
      </c>
      <c r="F43" s="39"/>
      <c r="G43" s="1"/>
      <c r="H43" s="1"/>
      <c r="I43" s="1"/>
      <c r="J43" s="1"/>
      <c r="K43" s="1"/>
      <c r="L43" s="3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37">
        <v>2.51</v>
      </c>
      <c r="CR43" s="39">
        <f t="shared" si="7"/>
        <v>0.1255</v>
      </c>
      <c r="CS43" s="39">
        <f t="shared" si="8"/>
        <v>2.6355</v>
      </c>
    </row>
    <row r="44" ht="12.75" customHeight="1">
      <c r="A44" s="34" t="s">
        <v>66</v>
      </c>
      <c r="B44" s="35" t="s">
        <v>47</v>
      </c>
      <c r="C44" s="36"/>
      <c r="D44" s="41">
        <v>0.097</v>
      </c>
      <c r="E44" s="38">
        <f t="shared" si="6"/>
        <v>0</v>
      </c>
      <c r="F44" s="39"/>
      <c r="G44" s="1"/>
      <c r="H44" s="1"/>
      <c r="I44" s="1"/>
      <c r="J44" s="1"/>
      <c r="K44" s="1"/>
      <c r="L44" s="3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37">
        <v>1.44</v>
      </c>
      <c r="CR44" s="39">
        <f t="shared" si="7"/>
        <v>0.072</v>
      </c>
      <c r="CS44" s="39">
        <f t="shared" si="8"/>
        <v>1.512</v>
      </c>
    </row>
    <row r="45" ht="12.75" customHeight="1">
      <c r="A45" s="34" t="s">
        <v>67</v>
      </c>
      <c r="B45" s="35" t="s">
        <v>47</v>
      </c>
      <c r="C45" s="36"/>
      <c r="D45" s="41">
        <v>0.147</v>
      </c>
      <c r="E45" s="38">
        <f t="shared" si="6"/>
        <v>0</v>
      </c>
      <c r="F45" s="39"/>
      <c r="G45" s="1"/>
      <c r="H45" s="1"/>
      <c r="I45" s="1"/>
      <c r="J45" s="1"/>
      <c r="K45" s="1"/>
      <c r="L45" s="3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36"/>
      <c r="CR45" s="39"/>
      <c r="CS45" s="39"/>
    </row>
    <row r="46" ht="12.75" customHeight="1">
      <c r="A46" s="34" t="s">
        <v>68</v>
      </c>
      <c r="B46" s="35" t="s">
        <v>47</v>
      </c>
      <c r="C46" s="36"/>
      <c r="D46" s="41">
        <v>0.475</v>
      </c>
      <c r="E46" s="38">
        <f t="shared" si="6"/>
        <v>0</v>
      </c>
      <c r="F46" s="39"/>
      <c r="G46" s="1"/>
      <c r="H46" s="1"/>
      <c r="I46" s="1"/>
      <c r="J46" s="1"/>
      <c r="K46" s="1"/>
      <c r="L46" s="3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36">
        <v>1.57</v>
      </c>
      <c r="CR46" s="39">
        <f t="shared" ref="CR46:CR51" si="12">CQ46*5%</f>
        <v>0.0785</v>
      </c>
      <c r="CS46" s="39">
        <f t="shared" ref="CS46:CS51" si="13">CQ46+CR46</f>
        <v>1.6485</v>
      </c>
    </row>
    <row r="47" ht="12.75" customHeight="1">
      <c r="A47" s="34" t="s">
        <v>69</v>
      </c>
      <c r="B47" s="35" t="s">
        <v>47</v>
      </c>
      <c r="C47" s="36"/>
      <c r="D47" s="41">
        <v>0.708</v>
      </c>
      <c r="E47" s="38">
        <f t="shared" si="6"/>
        <v>0</v>
      </c>
      <c r="F47" s="39"/>
      <c r="G47" s="1"/>
      <c r="H47" s="1"/>
      <c r="I47" s="1"/>
      <c r="J47" s="1"/>
      <c r="K47" s="1"/>
      <c r="L47" s="3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37">
        <v>1.08</v>
      </c>
      <c r="CR47" s="39">
        <f t="shared" si="12"/>
        <v>0.054</v>
      </c>
      <c r="CS47" s="39">
        <f t="shared" si="13"/>
        <v>1.134</v>
      </c>
    </row>
    <row r="48" ht="12.75" customHeight="1">
      <c r="A48" s="34" t="s">
        <v>70</v>
      </c>
      <c r="B48" s="35" t="s">
        <v>47</v>
      </c>
      <c r="C48" s="36"/>
      <c r="D48" s="41">
        <v>0.119</v>
      </c>
      <c r="E48" s="38">
        <f t="shared" si="6"/>
        <v>0</v>
      </c>
      <c r="F48" s="39"/>
      <c r="G48" s="1"/>
      <c r="H48" s="1"/>
      <c r="I48" s="1"/>
      <c r="J48" s="1"/>
      <c r="K48" s="1"/>
      <c r="L48" s="3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37">
        <v>1.95</v>
      </c>
      <c r="CR48" s="39">
        <f t="shared" si="12"/>
        <v>0.0975</v>
      </c>
      <c r="CS48" s="39">
        <f t="shared" si="13"/>
        <v>2.0475</v>
      </c>
    </row>
    <row r="49" ht="12.75" customHeight="1">
      <c r="A49" s="34" t="s">
        <v>71</v>
      </c>
      <c r="B49" s="35" t="s">
        <v>47</v>
      </c>
      <c r="C49" s="36"/>
      <c r="D49" s="41">
        <v>0.18</v>
      </c>
      <c r="E49" s="38">
        <f t="shared" si="6"/>
        <v>0</v>
      </c>
      <c r="F49" s="39"/>
      <c r="G49" s="1"/>
      <c r="H49" s="1"/>
      <c r="I49" s="1"/>
      <c r="J49" s="1"/>
      <c r="K49" s="1"/>
      <c r="L49" s="3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37">
        <v>1.95</v>
      </c>
      <c r="CR49" s="39">
        <f t="shared" si="12"/>
        <v>0.0975</v>
      </c>
      <c r="CS49" s="39">
        <f t="shared" si="13"/>
        <v>2.0475</v>
      </c>
    </row>
    <row r="50" ht="12.75" customHeight="1">
      <c r="A50" s="34" t="s">
        <v>72</v>
      </c>
      <c r="B50" s="35" t="s">
        <v>47</v>
      </c>
      <c r="C50" s="36"/>
      <c r="D50" s="37">
        <v>0.562</v>
      </c>
      <c r="E50" s="38">
        <f t="shared" si="6"/>
        <v>0</v>
      </c>
      <c r="F50" s="39"/>
      <c r="G50" s="1"/>
      <c r="H50" s="1"/>
      <c r="I50" s="1"/>
      <c r="J50" s="1"/>
      <c r="K50" s="1"/>
      <c r="L50" s="3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41">
        <v>0.5</v>
      </c>
      <c r="CR50" s="39">
        <f t="shared" si="12"/>
        <v>0.025</v>
      </c>
      <c r="CS50" s="39">
        <f t="shared" si="13"/>
        <v>0.525</v>
      </c>
    </row>
    <row r="51" ht="12.75" customHeight="1">
      <c r="A51" s="34" t="s">
        <v>73</v>
      </c>
      <c r="B51" s="35" t="s">
        <v>74</v>
      </c>
      <c r="C51" s="36"/>
      <c r="D51" s="37">
        <v>0.9</v>
      </c>
      <c r="E51" s="38">
        <f t="shared" si="6"/>
        <v>0</v>
      </c>
      <c r="F51" s="39"/>
      <c r="G51" s="1"/>
      <c r="H51" s="1"/>
      <c r="I51" s="1"/>
      <c r="J51" s="1"/>
      <c r="K51" s="1"/>
      <c r="L51" s="3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41">
        <v>0.062</v>
      </c>
      <c r="CR51" s="39">
        <f t="shared" si="12"/>
        <v>0.0031</v>
      </c>
      <c r="CS51" s="39">
        <f t="shared" si="13"/>
        <v>0.0651</v>
      </c>
    </row>
    <row r="52" ht="12.75" customHeight="1">
      <c r="A52" s="34" t="s">
        <v>75</v>
      </c>
      <c r="B52" s="35" t="s">
        <v>47</v>
      </c>
      <c r="C52" s="36"/>
      <c r="D52" s="37">
        <v>0.75</v>
      </c>
      <c r="E52" s="38">
        <f t="shared" si="6"/>
        <v>0</v>
      </c>
      <c r="F52" s="39"/>
      <c r="G52" s="1"/>
      <c r="H52" s="1"/>
      <c r="I52" s="1"/>
      <c r="J52" s="1"/>
      <c r="K52" s="1"/>
      <c r="L52" s="3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41"/>
      <c r="CR52" s="39"/>
      <c r="CS52" s="39"/>
    </row>
    <row r="53" ht="12.75" customHeight="1">
      <c r="A53" s="34" t="s">
        <v>76</v>
      </c>
      <c r="B53" s="35" t="s">
        <v>77</v>
      </c>
      <c r="C53" s="36"/>
      <c r="D53" s="37">
        <v>3.8</v>
      </c>
      <c r="E53" s="38">
        <f t="shared" si="6"/>
        <v>0</v>
      </c>
      <c r="F53" s="39"/>
      <c r="G53" s="1"/>
      <c r="H53" s="1"/>
      <c r="I53" s="1"/>
      <c r="J53" s="1"/>
      <c r="K53" s="1"/>
      <c r="L53" s="3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41">
        <v>0.103</v>
      </c>
      <c r="CR53" s="39">
        <f t="shared" ref="CR53:CR68" si="14">CQ53*5%</f>
        <v>0.00515</v>
      </c>
      <c r="CS53" s="39">
        <f t="shared" ref="CS53:CS68" si="15">CQ53+CR53</f>
        <v>0.10815</v>
      </c>
    </row>
    <row r="54" ht="12.75" customHeight="1">
      <c r="A54" s="34" t="s">
        <v>78</v>
      </c>
      <c r="B54" s="35" t="s">
        <v>79</v>
      </c>
      <c r="C54" s="36"/>
      <c r="D54" s="37">
        <v>1.27</v>
      </c>
      <c r="E54" s="38">
        <f t="shared" si="6"/>
        <v>0</v>
      </c>
      <c r="F54" s="39"/>
      <c r="G54" s="1"/>
      <c r="H54" s="1"/>
      <c r="I54" s="1"/>
      <c r="J54" s="1"/>
      <c r="K54" s="1"/>
      <c r="L54" s="3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41">
        <v>0.078</v>
      </c>
      <c r="CR54" s="39">
        <f t="shared" si="14"/>
        <v>0.0039</v>
      </c>
      <c r="CS54" s="39">
        <f t="shared" si="15"/>
        <v>0.0819</v>
      </c>
    </row>
    <row r="55" ht="12.75" customHeight="1">
      <c r="A55" s="34" t="s">
        <v>80</v>
      </c>
      <c r="B55" s="35" t="s">
        <v>47</v>
      </c>
      <c r="C55" s="36"/>
      <c r="D55" s="41">
        <v>0.035</v>
      </c>
      <c r="E55" s="38">
        <f t="shared" si="6"/>
        <v>0</v>
      </c>
      <c r="F55" s="39"/>
      <c r="G55" s="1"/>
      <c r="H55" s="1"/>
      <c r="I55" s="1"/>
      <c r="J55" s="1"/>
      <c r="K55" s="1"/>
      <c r="L55" s="3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41">
        <v>0.19</v>
      </c>
      <c r="CR55" s="39">
        <f t="shared" si="14"/>
        <v>0.0095</v>
      </c>
      <c r="CS55" s="39">
        <f t="shared" si="15"/>
        <v>0.1995</v>
      </c>
    </row>
    <row r="56" ht="12.75" customHeight="1">
      <c r="A56" s="34" t="s">
        <v>81</v>
      </c>
      <c r="B56" s="35" t="s">
        <v>44</v>
      </c>
      <c r="C56" s="36"/>
      <c r="D56" s="37">
        <v>0.7</v>
      </c>
      <c r="E56" s="38">
        <f t="shared" si="6"/>
        <v>0</v>
      </c>
      <c r="F56" s="39"/>
      <c r="G56" s="1"/>
      <c r="H56" s="1"/>
      <c r="I56" s="1"/>
      <c r="J56" s="1"/>
      <c r="K56" s="1"/>
      <c r="L56" s="3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41">
        <v>0.296</v>
      </c>
      <c r="CR56" s="39">
        <f t="shared" si="14"/>
        <v>0.0148</v>
      </c>
      <c r="CS56" s="39">
        <f t="shared" si="15"/>
        <v>0.3108</v>
      </c>
    </row>
    <row r="57" ht="12.75" customHeight="1">
      <c r="A57" s="34" t="s">
        <v>82</v>
      </c>
      <c r="B57" s="35" t="s">
        <v>47</v>
      </c>
      <c r="C57" s="36"/>
      <c r="D57" s="37">
        <v>2.97</v>
      </c>
      <c r="E57" s="38">
        <f t="shared" si="6"/>
        <v>0</v>
      </c>
      <c r="F57" s="39"/>
      <c r="G57" s="1"/>
      <c r="H57" s="1"/>
      <c r="I57" s="1"/>
      <c r="J57" s="1"/>
      <c r="K57" s="1"/>
      <c r="L57" s="3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41">
        <v>0.338</v>
      </c>
      <c r="CR57" s="39">
        <f t="shared" si="14"/>
        <v>0.0169</v>
      </c>
      <c r="CS57" s="39">
        <f t="shared" si="15"/>
        <v>0.3549</v>
      </c>
    </row>
    <row r="58" ht="12.75" customHeight="1">
      <c r="A58" s="34" t="s">
        <v>83</v>
      </c>
      <c r="B58" s="35" t="s">
        <v>47</v>
      </c>
      <c r="C58" s="36"/>
      <c r="D58" s="37">
        <v>13.1</v>
      </c>
      <c r="E58" s="38">
        <f t="shared" si="6"/>
        <v>0</v>
      </c>
      <c r="F58" s="39"/>
      <c r="G58" s="1"/>
      <c r="H58" s="1"/>
      <c r="I58" s="1"/>
      <c r="J58" s="1"/>
      <c r="K58" s="1"/>
      <c r="L58" s="3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41">
        <v>1.8</v>
      </c>
      <c r="CR58" s="39">
        <f t="shared" si="14"/>
        <v>0.09</v>
      </c>
      <c r="CS58" s="39">
        <f t="shared" si="15"/>
        <v>1.89</v>
      </c>
    </row>
    <row r="59" ht="12.75" customHeight="1">
      <c r="A59" s="34" t="s">
        <v>84</v>
      </c>
      <c r="B59" s="35" t="s">
        <v>47</v>
      </c>
      <c r="C59" s="36"/>
      <c r="D59" s="37">
        <v>6.49</v>
      </c>
      <c r="E59" s="38">
        <f t="shared" si="6"/>
        <v>0</v>
      </c>
      <c r="F59" s="39"/>
      <c r="G59" s="1"/>
      <c r="H59" s="1"/>
      <c r="I59" s="1"/>
      <c r="J59" s="1"/>
      <c r="K59" s="1"/>
      <c r="L59" s="3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37">
        <v>2.7</v>
      </c>
      <c r="CR59" s="39">
        <f t="shared" si="14"/>
        <v>0.135</v>
      </c>
      <c r="CS59" s="39">
        <f t="shared" si="15"/>
        <v>2.835</v>
      </c>
    </row>
    <row r="60" ht="12.75" customHeight="1">
      <c r="A60" s="34" t="s">
        <v>85</v>
      </c>
      <c r="B60" s="35" t="s">
        <v>47</v>
      </c>
      <c r="C60" s="36"/>
      <c r="D60" s="37">
        <v>8.4</v>
      </c>
      <c r="E60" s="38">
        <f t="shared" si="6"/>
        <v>0</v>
      </c>
      <c r="F60" s="39"/>
      <c r="G60" s="1"/>
      <c r="H60" s="1"/>
      <c r="I60" s="1"/>
      <c r="J60" s="1"/>
      <c r="K60" s="1"/>
      <c r="L60" s="3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37">
        <v>1.63</v>
      </c>
      <c r="CR60" s="39">
        <f t="shared" si="14"/>
        <v>0.0815</v>
      </c>
      <c r="CS60" s="39">
        <f t="shared" si="15"/>
        <v>1.7115</v>
      </c>
    </row>
    <row r="61" ht="12.75" customHeight="1">
      <c r="A61" s="34" t="s">
        <v>86</v>
      </c>
      <c r="B61" s="35" t="s">
        <v>47</v>
      </c>
      <c r="C61" s="36"/>
      <c r="D61" s="37">
        <v>0.98</v>
      </c>
      <c r="E61" s="38">
        <f t="shared" si="6"/>
        <v>0</v>
      </c>
      <c r="F61" s="39"/>
      <c r="G61" s="1"/>
      <c r="H61" s="1"/>
      <c r="I61" s="1"/>
      <c r="J61" s="1"/>
      <c r="K61" s="1"/>
      <c r="L61" s="3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37">
        <v>4.38</v>
      </c>
      <c r="CR61" s="39">
        <f t="shared" si="14"/>
        <v>0.219</v>
      </c>
      <c r="CS61" s="39">
        <f t="shared" si="15"/>
        <v>4.599</v>
      </c>
    </row>
    <row r="62" ht="12.75" customHeight="1">
      <c r="A62" s="34" t="s">
        <v>87</v>
      </c>
      <c r="B62" s="35" t="s">
        <v>47</v>
      </c>
      <c r="C62" s="36"/>
      <c r="D62" s="37">
        <v>1.0</v>
      </c>
      <c r="E62" s="38">
        <f t="shared" si="6"/>
        <v>0</v>
      </c>
      <c r="F62" s="39"/>
      <c r="G62" s="1"/>
      <c r="H62" s="1"/>
      <c r="I62" s="1"/>
      <c r="J62" s="1"/>
      <c r="K62" s="1"/>
      <c r="L62" s="3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37">
        <v>0.11</v>
      </c>
      <c r="CR62" s="39">
        <f t="shared" si="14"/>
        <v>0.0055</v>
      </c>
      <c r="CS62" s="39">
        <f t="shared" si="15"/>
        <v>0.1155</v>
      </c>
    </row>
    <row r="63" ht="12.75" customHeight="1">
      <c r="A63" s="34" t="s">
        <v>88</v>
      </c>
      <c r="B63" s="35" t="s">
        <v>47</v>
      </c>
      <c r="C63" s="36"/>
      <c r="D63" s="37">
        <v>1.48</v>
      </c>
      <c r="E63" s="38">
        <f t="shared" si="6"/>
        <v>0</v>
      </c>
      <c r="F63" s="39"/>
      <c r="G63" s="1"/>
      <c r="H63" s="1"/>
      <c r="I63" s="1"/>
      <c r="J63" s="1"/>
      <c r="K63" s="1"/>
      <c r="L63" s="3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37">
        <v>0.8</v>
      </c>
      <c r="CR63" s="39">
        <f t="shared" si="14"/>
        <v>0.04</v>
      </c>
      <c r="CS63" s="39">
        <f t="shared" si="15"/>
        <v>0.84</v>
      </c>
    </row>
    <row r="64" ht="12.75" customHeight="1">
      <c r="A64" s="34" t="s">
        <v>89</v>
      </c>
      <c r="B64" s="35" t="s">
        <v>90</v>
      </c>
      <c r="C64" s="36"/>
      <c r="D64" s="37">
        <v>1.0</v>
      </c>
      <c r="E64" s="38">
        <f t="shared" si="6"/>
        <v>0</v>
      </c>
      <c r="F64" s="39"/>
      <c r="G64" s="1"/>
      <c r="H64" s="1"/>
      <c r="I64" s="1"/>
      <c r="J64" s="1"/>
      <c r="K64" s="1"/>
      <c r="L64" s="3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37">
        <v>18.55</v>
      </c>
      <c r="CR64" s="39">
        <f t="shared" si="14"/>
        <v>0.9275</v>
      </c>
      <c r="CS64" s="39">
        <f t="shared" si="15"/>
        <v>19.4775</v>
      </c>
    </row>
    <row r="65" ht="12.75" customHeight="1">
      <c r="A65" s="34" t="s">
        <v>91</v>
      </c>
      <c r="B65" s="35" t="s">
        <v>92</v>
      </c>
      <c r="C65" s="36"/>
      <c r="D65" s="37">
        <v>6.0</v>
      </c>
      <c r="E65" s="38">
        <f t="shared" si="6"/>
        <v>0</v>
      </c>
      <c r="F65" s="39"/>
      <c r="G65" s="1"/>
      <c r="H65" s="1"/>
      <c r="I65" s="1"/>
      <c r="J65" s="1"/>
      <c r="K65" s="1"/>
      <c r="L65" s="3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37">
        <v>7.6</v>
      </c>
      <c r="CR65" s="39">
        <f t="shared" si="14"/>
        <v>0.38</v>
      </c>
      <c r="CS65" s="39">
        <f t="shared" si="15"/>
        <v>7.98</v>
      </c>
    </row>
    <row r="66" ht="12.75" customHeight="1">
      <c r="A66" s="34" t="s">
        <v>93</v>
      </c>
      <c r="B66" s="35" t="s">
        <v>47</v>
      </c>
      <c r="C66" s="36"/>
      <c r="D66" s="37">
        <v>0.044</v>
      </c>
      <c r="E66" s="38">
        <f t="shared" si="6"/>
        <v>0</v>
      </c>
      <c r="F66" s="39"/>
      <c r="G66" s="1"/>
      <c r="H66" s="1"/>
      <c r="I66" s="1"/>
      <c r="J66" s="1"/>
      <c r="K66" s="1"/>
      <c r="L66" s="3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37">
        <v>8.55</v>
      </c>
      <c r="CR66" s="39">
        <f t="shared" si="14"/>
        <v>0.4275</v>
      </c>
      <c r="CS66" s="39">
        <f t="shared" si="15"/>
        <v>8.9775</v>
      </c>
    </row>
    <row r="67" ht="12.75" customHeight="1">
      <c r="A67" s="34" t="s">
        <v>94</v>
      </c>
      <c r="B67" s="35" t="s">
        <v>95</v>
      </c>
      <c r="C67" s="36"/>
      <c r="D67" s="37">
        <v>2.33</v>
      </c>
      <c r="E67" s="38">
        <f t="shared" si="6"/>
        <v>0</v>
      </c>
      <c r="F67" s="39"/>
      <c r="G67" s="42"/>
      <c r="H67" s="43"/>
      <c r="I67" s="1"/>
      <c r="J67" s="1"/>
      <c r="K67" s="1"/>
      <c r="L67" s="3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37">
        <v>1.53</v>
      </c>
      <c r="CR67" s="39">
        <f t="shared" si="14"/>
        <v>0.0765</v>
      </c>
      <c r="CS67" s="39">
        <f t="shared" si="15"/>
        <v>1.6065</v>
      </c>
    </row>
    <row r="68" ht="12.75" customHeight="1">
      <c r="A68" s="44" t="s">
        <v>21</v>
      </c>
      <c r="B68" s="21"/>
      <c r="C68" s="21"/>
      <c r="D68" s="45"/>
      <c r="E68" s="46">
        <f>SUM(E24:E67)</f>
        <v>0</v>
      </c>
      <c r="F68" s="47">
        <v>0.05</v>
      </c>
      <c r="G68" s="1"/>
      <c r="H68" s="1"/>
      <c r="I68" s="1"/>
      <c r="J68" s="1"/>
      <c r="K68" s="1"/>
      <c r="L68" s="3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36">
        <v>1.44</v>
      </c>
      <c r="CR68" s="39">
        <f t="shared" si="14"/>
        <v>0.072</v>
      </c>
      <c r="CS68" s="39">
        <f t="shared" si="15"/>
        <v>1.512</v>
      </c>
    </row>
    <row r="69" ht="12.75" customHeight="1">
      <c r="A69" s="48"/>
      <c r="B69" s="35"/>
      <c r="C69" s="23"/>
      <c r="D69" s="49"/>
      <c r="E69" s="1"/>
      <c r="F69" s="44">
        <f>E68*F68</f>
        <v>0</v>
      </c>
      <c r="G69" s="39">
        <f>F69+E68</f>
        <v>0</v>
      </c>
      <c r="H69" s="1"/>
      <c r="I69" s="1"/>
      <c r="J69" s="1"/>
      <c r="K69" s="1"/>
      <c r="L69" s="3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37"/>
      <c r="CR69" s="39"/>
      <c r="CS69" s="39"/>
    </row>
    <row r="70" ht="12.75" customHeight="1">
      <c r="A70" s="1"/>
      <c r="B70" s="1"/>
      <c r="C70" s="23"/>
      <c r="D70" s="9"/>
      <c r="E70" s="1"/>
      <c r="F70" s="1"/>
      <c r="G70" s="1"/>
      <c r="H70" s="1"/>
      <c r="I70" s="1"/>
      <c r="J70" s="1"/>
      <c r="K70" s="1"/>
      <c r="L70" s="3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37">
        <v>2.37</v>
      </c>
      <c r="CR70" s="39">
        <f>CQ70*5%</f>
        <v>0.1185</v>
      </c>
      <c r="CS70" s="39">
        <f>CQ70+CR70</f>
        <v>2.4885</v>
      </c>
    </row>
    <row r="71" ht="12.75" customHeight="1">
      <c r="A71" s="1"/>
      <c r="B71" s="1"/>
      <c r="C71" s="36"/>
      <c r="D71" s="9"/>
      <c r="E71" s="39"/>
      <c r="F71" s="1"/>
      <c r="G71" s="1"/>
      <c r="H71" s="58"/>
      <c r="I71" s="1"/>
      <c r="J71" s="1"/>
      <c r="K71" s="1"/>
      <c r="L71" s="3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</row>
    <row r="72" ht="12.75" customHeight="1">
      <c r="A72" s="1"/>
      <c r="B72" s="1"/>
      <c r="C72" s="23"/>
      <c r="D72" s="9"/>
      <c r="E72" s="1"/>
      <c r="F72" s="1"/>
      <c r="G72" s="34"/>
      <c r="H72" s="59"/>
      <c r="I72" s="1"/>
      <c r="J72" s="1"/>
      <c r="K72" s="1"/>
      <c r="L72" s="3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</row>
    <row r="73" ht="12.75" customHeight="1">
      <c r="A73" s="44" t="s">
        <v>104</v>
      </c>
      <c r="B73" s="21" t="s">
        <v>33</v>
      </c>
      <c r="C73" s="21" t="s">
        <v>34</v>
      </c>
      <c r="D73" s="32" t="s">
        <v>35</v>
      </c>
      <c r="E73" s="21" t="s">
        <v>36</v>
      </c>
      <c r="F73" s="1"/>
      <c r="G73" s="34"/>
      <c r="H73" s="8"/>
      <c r="I73" s="1"/>
      <c r="J73" s="1"/>
      <c r="K73" s="1"/>
      <c r="L73" s="3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</row>
    <row r="74" ht="12.75" customHeight="1">
      <c r="A74" s="34" t="s">
        <v>105</v>
      </c>
      <c r="B74" s="35" t="s">
        <v>47</v>
      </c>
      <c r="C74" s="36"/>
      <c r="D74" s="60">
        <v>10.0</v>
      </c>
      <c r="E74" s="38">
        <f t="shared" ref="E74:E75" si="16">(D74*C74)/12</f>
        <v>0</v>
      </c>
      <c r="F74" s="43"/>
      <c r="G74" s="34"/>
      <c r="H74" s="1"/>
      <c r="I74" s="1"/>
      <c r="J74" s="1"/>
      <c r="K74" s="1"/>
      <c r="L74" s="3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</row>
    <row r="75" ht="12.75" customHeight="1">
      <c r="A75" s="34" t="s">
        <v>106</v>
      </c>
      <c r="B75" s="35" t="s">
        <v>47</v>
      </c>
      <c r="C75" s="36"/>
      <c r="D75" s="60">
        <v>18.0</v>
      </c>
      <c r="E75" s="38">
        <f t="shared" si="16"/>
        <v>0</v>
      </c>
      <c r="F75" s="43"/>
      <c r="G75" s="34"/>
      <c r="H75" s="1"/>
      <c r="I75" s="1"/>
      <c r="J75" s="1"/>
      <c r="K75" s="1"/>
      <c r="L75" s="3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</row>
    <row r="76" ht="12.75" customHeight="1">
      <c r="A76" s="61" t="s">
        <v>107</v>
      </c>
      <c r="B76" s="35" t="s">
        <v>47</v>
      </c>
      <c r="C76" s="36"/>
      <c r="D76" s="60">
        <v>800.0</v>
      </c>
      <c r="E76" s="38">
        <f t="shared" ref="E76:E79" si="17">(D76*C76)/48</f>
        <v>0</v>
      </c>
      <c r="F76" s="43"/>
      <c r="G76" s="34"/>
      <c r="H76" s="1"/>
      <c r="I76" s="1"/>
      <c r="J76" s="1"/>
      <c r="K76" s="1"/>
      <c r="L76" s="3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</row>
    <row r="77" ht="12.75" customHeight="1">
      <c r="A77" s="61" t="s">
        <v>108</v>
      </c>
      <c r="B77" s="35" t="s">
        <v>47</v>
      </c>
      <c r="C77" s="36"/>
      <c r="D77" s="60">
        <v>1100.0</v>
      </c>
      <c r="E77" s="38">
        <f t="shared" si="17"/>
        <v>0</v>
      </c>
      <c r="F77" s="1"/>
      <c r="G77" s="34"/>
      <c r="H77" s="62"/>
      <c r="I77" s="1"/>
      <c r="J77" s="1"/>
      <c r="K77" s="1"/>
      <c r="L77" s="3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ht="12.75" customHeight="1">
      <c r="A78" s="61" t="s">
        <v>109</v>
      </c>
      <c r="B78" s="35" t="s">
        <v>47</v>
      </c>
      <c r="C78" s="36"/>
      <c r="D78" s="60">
        <v>1500.0</v>
      </c>
      <c r="E78" s="38">
        <f t="shared" si="17"/>
        <v>0</v>
      </c>
      <c r="F78" s="43"/>
      <c r="G78" s="34"/>
      <c r="H78" s="1"/>
      <c r="I78" s="1"/>
      <c r="J78" s="1"/>
      <c r="K78" s="1"/>
      <c r="L78" s="3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</row>
    <row r="79" ht="12.75" customHeight="1">
      <c r="A79" s="61" t="s">
        <v>110</v>
      </c>
      <c r="B79" s="35" t="s">
        <v>111</v>
      </c>
      <c r="C79" s="36"/>
      <c r="D79" s="60">
        <v>290.0</v>
      </c>
      <c r="E79" s="38">
        <f t="shared" si="17"/>
        <v>0</v>
      </c>
      <c r="F79" s="43"/>
      <c r="G79" s="34"/>
      <c r="H79" s="1"/>
      <c r="I79" s="1"/>
      <c r="J79" s="1"/>
      <c r="K79" s="1"/>
      <c r="L79" s="3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</row>
    <row r="80" ht="12.75" customHeight="1">
      <c r="A80" s="61" t="s">
        <v>112</v>
      </c>
      <c r="B80" s="35" t="s">
        <v>47</v>
      </c>
      <c r="C80" s="36"/>
      <c r="D80" s="60">
        <v>8.0</v>
      </c>
      <c r="E80" s="38">
        <f t="shared" ref="E80:E81" si="18">(D80*C80)/12</f>
        <v>0</v>
      </c>
      <c r="F80" s="1"/>
      <c r="G80" s="34"/>
      <c r="H80" s="1"/>
      <c r="I80" s="1"/>
      <c r="J80" s="1"/>
      <c r="K80" s="1"/>
      <c r="L80" s="3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</row>
    <row r="81" ht="12.75" customHeight="1">
      <c r="A81" s="61" t="s">
        <v>113</v>
      </c>
      <c r="B81" s="35" t="s">
        <v>47</v>
      </c>
      <c r="C81" s="36"/>
      <c r="D81" s="60">
        <v>68.0</v>
      </c>
      <c r="E81" s="38">
        <f t="shared" si="18"/>
        <v>0</v>
      </c>
      <c r="F81" s="43"/>
      <c r="G81" s="34"/>
      <c r="H81" s="1"/>
      <c r="I81" s="1"/>
      <c r="J81" s="1"/>
      <c r="K81" s="1"/>
      <c r="L81" s="3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</row>
    <row r="82" ht="12.75" customHeight="1">
      <c r="A82" s="61" t="s">
        <v>114</v>
      </c>
      <c r="B82" s="35" t="s">
        <v>47</v>
      </c>
      <c r="C82" s="36"/>
      <c r="D82" s="60">
        <v>150.0</v>
      </c>
      <c r="E82" s="38">
        <f t="shared" ref="E82:E83" si="19">(D82*C82)/18</f>
        <v>0</v>
      </c>
      <c r="F82" s="43"/>
      <c r="G82" s="34"/>
      <c r="H82" s="1"/>
      <c r="I82" s="1"/>
      <c r="J82" s="1"/>
      <c r="K82" s="1"/>
      <c r="L82" s="3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</row>
    <row r="83" ht="12.75" customHeight="1">
      <c r="A83" s="61" t="s">
        <v>115</v>
      </c>
      <c r="B83" s="35" t="s">
        <v>74</v>
      </c>
      <c r="C83" s="36"/>
      <c r="D83" s="60">
        <v>0.2</v>
      </c>
      <c r="E83" s="38">
        <f t="shared" si="19"/>
        <v>0</v>
      </c>
      <c r="F83" s="43"/>
      <c r="G83" s="34"/>
      <c r="H83" s="1"/>
      <c r="I83" s="1"/>
      <c r="J83" s="1"/>
      <c r="K83" s="1"/>
      <c r="L83" s="3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ht="12.75" customHeight="1">
      <c r="A84" s="61" t="s">
        <v>116</v>
      </c>
      <c r="B84" s="35" t="s">
        <v>47</v>
      </c>
      <c r="C84" s="36"/>
      <c r="D84" s="60">
        <v>3.0</v>
      </c>
      <c r="E84" s="38">
        <f>(D84*C84)/4</f>
        <v>0</v>
      </c>
      <c r="F84" s="43"/>
      <c r="G84" s="34"/>
      <c r="H84" s="1"/>
      <c r="I84" s="1"/>
      <c r="J84" s="1"/>
      <c r="K84" s="1"/>
      <c r="L84" s="3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</row>
    <row r="85" ht="12.75" customHeight="1">
      <c r="A85" s="61" t="s">
        <v>117</v>
      </c>
      <c r="B85" s="35" t="s">
        <v>47</v>
      </c>
      <c r="C85" s="36"/>
      <c r="D85" s="60">
        <v>33.0</v>
      </c>
      <c r="E85" s="38">
        <f t="shared" ref="E85:E86" si="20">(D85*C85)/12</f>
        <v>0</v>
      </c>
      <c r="F85" s="1"/>
      <c r="G85" s="34"/>
      <c r="H85" s="1"/>
      <c r="I85" s="1"/>
      <c r="J85" s="1"/>
      <c r="K85" s="1"/>
      <c r="L85" s="3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</row>
    <row r="86" ht="12.75" customHeight="1">
      <c r="A86" s="61" t="s">
        <v>118</v>
      </c>
      <c r="B86" s="35" t="s">
        <v>47</v>
      </c>
      <c r="C86" s="36"/>
      <c r="D86" s="60">
        <v>20.0</v>
      </c>
      <c r="E86" s="38">
        <f t="shared" si="20"/>
        <v>0</v>
      </c>
      <c r="F86" s="1"/>
      <c r="G86" s="34"/>
      <c r="H86" s="62"/>
      <c r="I86" s="1"/>
      <c r="J86" s="1"/>
      <c r="K86" s="1"/>
      <c r="L86" s="3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</row>
    <row r="87" ht="12.75" customHeight="1">
      <c r="A87" s="61" t="s">
        <v>119</v>
      </c>
      <c r="B87" s="35" t="s">
        <v>47</v>
      </c>
      <c r="C87" s="36"/>
      <c r="D87" s="60">
        <v>420.0</v>
      </c>
      <c r="E87" s="38">
        <f>(D87*C87)/24</f>
        <v>0</v>
      </c>
      <c r="F87" s="1"/>
      <c r="G87" s="34"/>
      <c r="H87" s="62"/>
      <c r="I87" s="1"/>
      <c r="J87" s="1"/>
      <c r="K87" s="1"/>
      <c r="L87" s="3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</row>
    <row r="88" ht="12.75" customHeight="1">
      <c r="A88" s="61" t="s">
        <v>120</v>
      </c>
      <c r="B88" s="35" t="s">
        <v>47</v>
      </c>
      <c r="C88" s="36"/>
      <c r="D88" s="60">
        <v>318.0</v>
      </c>
      <c r="E88" s="38">
        <f>(D88*C88)/18</f>
        <v>0</v>
      </c>
      <c r="F88" s="1"/>
      <c r="G88" s="34"/>
      <c r="H88" s="62"/>
      <c r="I88" s="1"/>
      <c r="J88" s="1"/>
      <c r="K88" s="1"/>
      <c r="L88" s="3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</row>
    <row r="89" ht="12.75" customHeight="1">
      <c r="A89" s="61" t="s">
        <v>121</v>
      </c>
      <c r="B89" s="35" t="s">
        <v>47</v>
      </c>
      <c r="C89" s="36"/>
      <c r="D89" s="60">
        <v>12.0</v>
      </c>
      <c r="E89" s="38">
        <f>(D89*C89)/6</f>
        <v>0</v>
      </c>
      <c r="F89" s="1"/>
      <c r="G89" s="34"/>
      <c r="H89" s="62"/>
      <c r="I89" s="1"/>
      <c r="J89" s="1"/>
      <c r="K89" s="1"/>
      <c r="L89" s="3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</row>
    <row r="90" ht="12.75" customHeight="1">
      <c r="A90" s="61" t="s">
        <v>122</v>
      </c>
      <c r="B90" s="35" t="s">
        <v>47</v>
      </c>
      <c r="C90" s="36"/>
      <c r="D90" s="60">
        <v>1.05</v>
      </c>
      <c r="E90" s="38">
        <f>(D90*C90)/2</f>
        <v>0</v>
      </c>
      <c r="F90" s="1"/>
      <c r="G90" s="34"/>
      <c r="H90" s="62"/>
      <c r="I90" s="1"/>
      <c r="J90" s="1"/>
      <c r="K90" s="1"/>
      <c r="L90" s="3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ht="12.75" customHeight="1">
      <c r="A91" s="61" t="s">
        <v>123</v>
      </c>
      <c r="B91" s="35" t="s">
        <v>47</v>
      </c>
      <c r="C91" s="36"/>
      <c r="D91" s="60">
        <v>4.5</v>
      </c>
      <c r="E91" s="38">
        <f>(D91*C91)</f>
        <v>0</v>
      </c>
      <c r="F91" s="1"/>
      <c r="G91" s="34"/>
      <c r="H91" s="62"/>
      <c r="I91" s="1"/>
      <c r="J91" s="1"/>
      <c r="K91" s="1"/>
      <c r="L91" s="3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</row>
    <row r="92" ht="12.75" customHeight="1">
      <c r="A92" s="61" t="s">
        <v>124</v>
      </c>
      <c r="B92" s="35" t="s">
        <v>47</v>
      </c>
      <c r="C92" s="36"/>
      <c r="D92" s="60">
        <v>3.7</v>
      </c>
      <c r="E92" s="38">
        <f>(D92*C92)/6</f>
        <v>0</v>
      </c>
      <c r="F92" s="1"/>
      <c r="G92" s="34"/>
      <c r="H92" s="62"/>
      <c r="I92" s="1"/>
      <c r="J92" s="1"/>
      <c r="K92" s="1"/>
      <c r="L92" s="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ht="12.75" customHeight="1">
      <c r="A93" s="34" t="s">
        <v>125</v>
      </c>
      <c r="B93" s="35" t="s">
        <v>47</v>
      </c>
      <c r="C93" s="36"/>
      <c r="D93" s="60">
        <v>500.0</v>
      </c>
      <c r="E93" s="38">
        <f>(D93*C93)/36</f>
        <v>0</v>
      </c>
      <c r="F93" s="1"/>
      <c r="G93" s="34"/>
      <c r="H93" s="62"/>
      <c r="I93" s="1"/>
      <c r="J93" s="1"/>
      <c r="K93" s="1"/>
      <c r="L93" s="3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</row>
    <row r="94" ht="12.75" customHeight="1">
      <c r="A94" s="34" t="s">
        <v>126</v>
      </c>
      <c r="B94" s="35" t="s">
        <v>47</v>
      </c>
      <c r="C94" s="36"/>
      <c r="D94" s="60">
        <v>84.0</v>
      </c>
      <c r="E94" s="38">
        <f>(D94*C94)/12</f>
        <v>0</v>
      </c>
      <c r="F94" s="1"/>
      <c r="G94" s="34"/>
      <c r="H94" s="62"/>
      <c r="I94" s="1"/>
      <c r="J94" s="1"/>
      <c r="K94" s="1"/>
      <c r="L94" s="3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</row>
    <row r="95" ht="12.75" customHeight="1">
      <c r="A95" s="34" t="s">
        <v>127</v>
      </c>
      <c r="B95" s="35" t="s">
        <v>47</v>
      </c>
      <c r="C95" s="36"/>
      <c r="D95" s="60">
        <v>7.0</v>
      </c>
      <c r="E95" s="38">
        <f t="shared" ref="E95:E96" si="21">(D95*C95)/6</f>
        <v>0</v>
      </c>
      <c r="F95" s="1"/>
      <c r="G95" s="34"/>
      <c r="H95" s="62"/>
      <c r="I95" s="1"/>
      <c r="J95" s="1"/>
      <c r="K95" s="1"/>
      <c r="L95" s="3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</row>
    <row r="96" ht="12.75" customHeight="1">
      <c r="A96" s="34" t="s">
        <v>128</v>
      </c>
      <c r="B96" s="35" t="s">
        <v>47</v>
      </c>
      <c r="C96" s="36"/>
      <c r="D96" s="60">
        <v>3.0</v>
      </c>
      <c r="E96" s="38">
        <f t="shared" si="21"/>
        <v>0</v>
      </c>
      <c r="F96" s="1"/>
      <c r="G96" s="34"/>
      <c r="H96" s="62"/>
      <c r="I96" s="1"/>
      <c r="J96" s="1"/>
      <c r="K96" s="1"/>
      <c r="L96" s="3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</row>
    <row r="97" ht="12.75" customHeight="1">
      <c r="A97" s="34" t="s">
        <v>129</v>
      </c>
      <c r="B97" s="35" t="s">
        <v>47</v>
      </c>
      <c r="C97" s="36"/>
      <c r="D97" s="60">
        <v>130.0</v>
      </c>
      <c r="E97" s="38">
        <f>(D97*C97)/12</f>
        <v>0</v>
      </c>
      <c r="F97" s="1"/>
      <c r="G97" s="34"/>
      <c r="H97" s="62"/>
      <c r="I97" s="1"/>
      <c r="J97" s="1"/>
      <c r="K97" s="1"/>
      <c r="L97" s="3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</row>
    <row r="98" ht="12.75" customHeight="1">
      <c r="A98" s="34" t="s">
        <v>130</v>
      </c>
      <c r="B98" s="35" t="s">
        <v>47</v>
      </c>
      <c r="C98" s="36"/>
      <c r="D98" s="60">
        <v>6.0</v>
      </c>
      <c r="E98" s="38">
        <f>(D98*C98)/6</f>
        <v>0</v>
      </c>
      <c r="F98" s="43"/>
      <c r="G98" s="34"/>
      <c r="H98" s="62"/>
      <c r="I98" s="1"/>
      <c r="J98" s="1"/>
      <c r="K98" s="1"/>
      <c r="L98" s="3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</row>
    <row r="99" ht="12.75" customHeight="1">
      <c r="A99" s="34" t="s">
        <v>131</v>
      </c>
      <c r="B99" s="35" t="s">
        <v>47</v>
      </c>
      <c r="C99" s="36"/>
      <c r="D99" s="60">
        <v>80.0</v>
      </c>
      <c r="E99" s="38">
        <f>(D99*C99)/18</f>
        <v>0</v>
      </c>
      <c r="F99" s="43"/>
      <c r="G99" s="34"/>
      <c r="H99" s="62"/>
      <c r="I99" s="1"/>
      <c r="J99" s="1"/>
      <c r="K99" s="1"/>
      <c r="L99" s="3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</row>
    <row r="100" ht="12.75" customHeight="1">
      <c r="A100" s="34" t="s">
        <v>132</v>
      </c>
      <c r="B100" s="35" t="s">
        <v>47</v>
      </c>
      <c r="C100" s="36"/>
      <c r="D100" s="60">
        <v>120.0</v>
      </c>
      <c r="E100" s="38">
        <f t="shared" ref="E100:E102" si="22">(D100*C100)/12</f>
        <v>0</v>
      </c>
      <c r="F100" s="43"/>
      <c r="G100" s="34"/>
      <c r="H100" s="62"/>
      <c r="I100" s="1"/>
      <c r="J100" s="1"/>
      <c r="K100" s="1"/>
      <c r="L100" s="3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</row>
    <row r="101" ht="12.75" customHeight="1">
      <c r="A101" s="34" t="s">
        <v>133</v>
      </c>
      <c r="B101" s="35" t="s">
        <v>47</v>
      </c>
      <c r="C101" s="36"/>
      <c r="D101" s="60">
        <v>130.0</v>
      </c>
      <c r="E101" s="38">
        <f t="shared" si="22"/>
        <v>0</v>
      </c>
      <c r="F101" s="43"/>
      <c r="G101" s="34"/>
      <c r="H101" s="62"/>
      <c r="I101" s="1"/>
      <c r="J101" s="1"/>
      <c r="K101" s="1"/>
      <c r="L101" s="3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</row>
    <row r="102" ht="12.75" customHeight="1">
      <c r="A102" s="34" t="s">
        <v>134</v>
      </c>
      <c r="B102" s="35" t="s">
        <v>47</v>
      </c>
      <c r="C102" s="36"/>
      <c r="D102" s="60">
        <v>85.0</v>
      </c>
      <c r="E102" s="38">
        <f t="shared" si="22"/>
        <v>0</v>
      </c>
      <c r="F102" s="1"/>
      <c r="G102" s="34"/>
      <c r="H102" s="62"/>
      <c r="I102" s="1"/>
      <c r="J102" s="1"/>
      <c r="K102" s="1"/>
      <c r="L102" s="3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</row>
    <row r="103" ht="12.75" customHeight="1">
      <c r="A103" s="34" t="s">
        <v>135</v>
      </c>
      <c r="B103" s="35" t="s">
        <v>47</v>
      </c>
      <c r="C103" s="36"/>
      <c r="D103" s="60">
        <v>7.0</v>
      </c>
      <c r="E103" s="38">
        <f>D103*C103/12</f>
        <v>0</v>
      </c>
      <c r="F103" s="43"/>
      <c r="G103" s="34"/>
      <c r="H103" s="62"/>
      <c r="I103" s="1"/>
      <c r="J103" s="1"/>
      <c r="K103" s="1"/>
      <c r="L103" s="3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</row>
    <row r="104" ht="12.75" customHeight="1">
      <c r="A104" s="34" t="s">
        <v>136</v>
      </c>
      <c r="B104" s="35" t="s">
        <v>47</v>
      </c>
      <c r="C104" s="36"/>
      <c r="D104" s="60">
        <v>50.0</v>
      </c>
      <c r="E104" s="38">
        <f t="shared" ref="E104:E107" si="23">(D104*C104)/24</f>
        <v>0</v>
      </c>
      <c r="F104" s="43"/>
      <c r="G104" s="34"/>
      <c r="H104" s="62"/>
      <c r="I104" s="1"/>
      <c r="J104" s="1"/>
      <c r="K104" s="1"/>
      <c r="L104" s="3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</row>
    <row r="105" ht="12.75" customHeight="1">
      <c r="A105" s="34" t="s">
        <v>137</v>
      </c>
      <c r="B105" s="35" t="s">
        <v>47</v>
      </c>
      <c r="C105" s="36"/>
      <c r="D105" s="60">
        <v>55.0</v>
      </c>
      <c r="E105" s="38">
        <f t="shared" si="23"/>
        <v>0</v>
      </c>
      <c r="F105" s="43"/>
      <c r="G105" s="34"/>
      <c r="H105" s="62"/>
      <c r="I105" s="1"/>
      <c r="J105" s="1"/>
      <c r="K105" s="1"/>
      <c r="L105" s="3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</row>
    <row r="106" ht="12.75" customHeight="1">
      <c r="A106" s="34" t="s">
        <v>138</v>
      </c>
      <c r="B106" s="35" t="s">
        <v>47</v>
      </c>
      <c r="C106" s="36"/>
      <c r="D106" s="60">
        <v>61.0</v>
      </c>
      <c r="E106" s="38">
        <f t="shared" si="23"/>
        <v>0</v>
      </c>
      <c r="F106" s="43"/>
      <c r="G106" s="34"/>
      <c r="H106" s="62"/>
      <c r="I106" s="1"/>
      <c r="J106" s="1"/>
      <c r="K106" s="1"/>
      <c r="L106" s="3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</row>
    <row r="107" ht="12.75" customHeight="1">
      <c r="A107" s="34" t="s">
        <v>139</v>
      </c>
      <c r="B107" s="35" t="s">
        <v>47</v>
      </c>
      <c r="C107" s="36"/>
      <c r="D107" s="60">
        <v>201.0</v>
      </c>
      <c r="E107" s="38">
        <f t="shared" si="23"/>
        <v>0</v>
      </c>
      <c r="F107" s="43"/>
      <c r="G107" s="34"/>
      <c r="H107" s="62"/>
      <c r="I107" s="1"/>
      <c r="J107" s="1"/>
      <c r="K107" s="1"/>
      <c r="L107" s="3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</row>
    <row r="108" ht="12.75" customHeight="1">
      <c r="A108" s="34" t="s">
        <v>140</v>
      </c>
      <c r="B108" s="35" t="s">
        <v>47</v>
      </c>
      <c r="C108" s="36"/>
      <c r="D108" s="60">
        <v>220.0</v>
      </c>
      <c r="E108" s="38">
        <f>(D108*C108)/36</f>
        <v>0</v>
      </c>
      <c r="F108" s="43"/>
      <c r="G108" s="34"/>
      <c r="H108" s="62"/>
      <c r="I108" s="1"/>
      <c r="J108" s="1"/>
      <c r="K108" s="1"/>
      <c r="L108" s="3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</row>
    <row r="109" ht="12.75" customHeight="1">
      <c r="A109" s="34" t="s">
        <v>141</v>
      </c>
      <c r="B109" s="35" t="s">
        <v>47</v>
      </c>
      <c r="C109" s="36"/>
      <c r="D109" s="60">
        <v>100.0</v>
      </c>
      <c r="E109" s="38">
        <f t="shared" ref="E109:E110" si="24">(D109*C109)/12</f>
        <v>0</v>
      </c>
      <c r="F109" s="43"/>
      <c r="G109" s="34"/>
      <c r="H109" s="62"/>
      <c r="I109" s="1"/>
      <c r="J109" s="1"/>
      <c r="K109" s="1"/>
      <c r="L109" s="3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</row>
    <row r="110" ht="12.75" customHeight="1">
      <c r="A110" s="34" t="s">
        <v>142</v>
      </c>
      <c r="B110" s="35" t="s">
        <v>47</v>
      </c>
      <c r="C110" s="36"/>
      <c r="D110" s="60">
        <v>73.0</v>
      </c>
      <c r="E110" s="38">
        <f t="shared" si="24"/>
        <v>0</v>
      </c>
      <c r="F110" s="1"/>
      <c r="G110" s="34"/>
      <c r="H110" s="62"/>
      <c r="I110" s="1"/>
      <c r="J110" s="1"/>
      <c r="K110" s="1"/>
      <c r="L110" s="3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</row>
    <row r="111" ht="12.75" customHeight="1">
      <c r="A111" s="34" t="s">
        <v>143</v>
      </c>
      <c r="B111" s="35" t="s">
        <v>47</v>
      </c>
      <c r="C111" s="36"/>
      <c r="D111" s="60">
        <v>900.0</v>
      </c>
      <c r="E111" s="38">
        <f>(D111*C111)/18</f>
        <v>0</v>
      </c>
      <c r="F111" s="43"/>
      <c r="G111" s="34"/>
      <c r="H111" s="62"/>
      <c r="I111" s="1"/>
      <c r="J111" s="1"/>
      <c r="K111" s="1"/>
      <c r="L111" s="3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</row>
    <row r="112" ht="12.75" customHeight="1">
      <c r="A112" s="61" t="s">
        <v>144</v>
      </c>
      <c r="B112" s="35" t="s">
        <v>47</v>
      </c>
      <c r="C112" s="36"/>
      <c r="D112" s="60">
        <v>2300.0</v>
      </c>
      <c r="E112" s="38">
        <f t="shared" ref="E112:E113" si="25">(D112*C112)/48</f>
        <v>0</v>
      </c>
      <c r="F112" s="43"/>
      <c r="G112" s="34"/>
      <c r="H112" s="62"/>
      <c r="I112" s="1"/>
      <c r="J112" s="1"/>
      <c r="K112" s="1"/>
      <c r="L112" s="3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</row>
    <row r="113" ht="12.75" customHeight="1">
      <c r="A113" s="61" t="s">
        <v>145</v>
      </c>
      <c r="B113" s="35" t="s">
        <v>47</v>
      </c>
      <c r="C113" s="36"/>
      <c r="D113" s="63">
        <v>900.0</v>
      </c>
      <c r="E113" s="38">
        <f t="shared" si="25"/>
        <v>0</v>
      </c>
      <c r="F113" s="1"/>
      <c r="G113" s="34"/>
      <c r="H113" s="62"/>
      <c r="I113" s="1"/>
      <c r="J113" s="1"/>
      <c r="K113" s="1"/>
      <c r="L113" s="3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</row>
    <row r="114" ht="12.75" customHeight="1">
      <c r="A114" s="61" t="s">
        <v>146</v>
      </c>
      <c r="B114" s="35" t="s">
        <v>47</v>
      </c>
      <c r="C114" s="36"/>
      <c r="D114" s="60">
        <v>1850.0</v>
      </c>
      <c r="E114" s="38">
        <v>0.0</v>
      </c>
      <c r="F114" s="1"/>
      <c r="G114" s="34"/>
      <c r="H114" s="62"/>
      <c r="I114" s="1"/>
      <c r="J114" s="1"/>
      <c r="K114" s="1"/>
      <c r="L114" s="3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</row>
    <row r="115" ht="12.75" customHeight="1">
      <c r="A115" s="61" t="s">
        <v>147</v>
      </c>
      <c r="B115" s="35" t="s">
        <v>47</v>
      </c>
      <c r="C115" s="36"/>
      <c r="D115" s="60">
        <v>2050.0</v>
      </c>
      <c r="E115" s="38">
        <f>(D115*C115)/48</f>
        <v>0</v>
      </c>
      <c r="F115" s="1"/>
      <c r="G115" s="34"/>
      <c r="H115" s="62"/>
      <c r="I115" s="1"/>
      <c r="J115" s="1"/>
      <c r="K115" s="1"/>
      <c r="L115" s="3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</row>
    <row r="116" ht="12.75" customHeight="1">
      <c r="A116" s="34" t="s">
        <v>148</v>
      </c>
      <c r="B116" s="35" t="s">
        <v>47</v>
      </c>
      <c r="C116" s="36"/>
      <c r="D116" s="60">
        <v>12.0</v>
      </c>
      <c r="E116" s="38">
        <f>(D116*C116)/6</f>
        <v>0</v>
      </c>
      <c r="F116" s="43"/>
      <c r="G116" s="34"/>
      <c r="H116" s="62"/>
      <c r="I116" s="1"/>
      <c r="J116" s="1"/>
      <c r="K116" s="1"/>
      <c r="L116" s="3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</row>
    <row r="117" ht="12.75" customHeight="1">
      <c r="A117" s="34" t="s">
        <v>149</v>
      </c>
      <c r="B117" s="35" t="s">
        <v>47</v>
      </c>
      <c r="C117" s="36"/>
      <c r="D117" s="60">
        <v>10.0</v>
      </c>
      <c r="E117" s="38">
        <f>(D117*C117)/2</f>
        <v>0</v>
      </c>
      <c r="F117" s="43"/>
      <c r="G117" s="34"/>
      <c r="H117" s="62"/>
      <c r="I117" s="1"/>
      <c r="J117" s="1"/>
      <c r="K117" s="1"/>
      <c r="L117" s="3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</row>
    <row r="118" ht="12.75" customHeight="1">
      <c r="A118" s="34" t="s">
        <v>150</v>
      </c>
      <c r="B118" s="35" t="s">
        <v>47</v>
      </c>
      <c r="C118" s="36"/>
      <c r="D118" s="60">
        <v>20.7</v>
      </c>
      <c r="E118" s="38">
        <f>(D118*C118)/6</f>
        <v>0</v>
      </c>
      <c r="F118" s="1"/>
      <c r="G118" s="34"/>
      <c r="I118" s="1"/>
      <c r="J118" s="1"/>
      <c r="K118" s="1"/>
      <c r="L118" s="3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</row>
    <row r="119" ht="12.75" customHeight="1">
      <c r="A119" s="34" t="s">
        <v>151</v>
      </c>
      <c r="B119" s="35" t="s">
        <v>47</v>
      </c>
      <c r="C119" s="36"/>
      <c r="D119" s="60">
        <v>0.1</v>
      </c>
      <c r="E119" s="38">
        <f>(D119*C119)</f>
        <v>0</v>
      </c>
      <c r="F119" s="1"/>
      <c r="G119" s="34"/>
      <c r="H119" s="62"/>
      <c r="I119" s="1"/>
      <c r="J119" s="1"/>
      <c r="K119" s="1"/>
      <c r="L119" s="3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</row>
    <row r="120" ht="12.75" customHeight="1">
      <c r="A120" s="34" t="s">
        <v>152</v>
      </c>
      <c r="B120" s="35" t="s">
        <v>47</v>
      </c>
      <c r="C120" s="36"/>
      <c r="D120" s="60">
        <v>14.0</v>
      </c>
      <c r="E120" s="38">
        <f>(D120*C120)/24</f>
        <v>0</v>
      </c>
      <c r="F120" s="1"/>
      <c r="G120" s="34"/>
      <c r="H120" s="62"/>
      <c r="I120" s="1"/>
      <c r="J120" s="1"/>
      <c r="K120" s="1"/>
      <c r="L120" s="3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</row>
    <row r="121" ht="12.75" customHeight="1">
      <c r="A121" s="34" t="s">
        <v>153</v>
      </c>
      <c r="B121" s="35" t="s">
        <v>47</v>
      </c>
      <c r="C121" s="36"/>
      <c r="D121" s="60">
        <v>110.0</v>
      </c>
      <c r="E121" s="38">
        <f t="shared" ref="E121:E122" si="26">(D121*C121)/12</f>
        <v>0</v>
      </c>
      <c r="F121" s="1"/>
      <c r="G121" s="1"/>
      <c r="H121" s="62"/>
      <c r="I121" s="1"/>
      <c r="J121" s="1"/>
      <c r="K121" s="1"/>
      <c r="L121" s="3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</row>
    <row r="122" ht="12.75" customHeight="1">
      <c r="A122" s="34" t="s">
        <v>154</v>
      </c>
      <c r="B122" s="35" t="s">
        <v>47</v>
      </c>
      <c r="C122" s="36"/>
      <c r="D122" s="60">
        <v>120.0</v>
      </c>
      <c r="E122" s="38">
        <f t="shared" si="26"/>
        <v>0</v>
      </c>
      <c r="F122" s="1"/>
      <c r="G122" s="1"/>
      <c r="H122" s="62"/>
      <c r="I122" s="1"/>
      <c r="J122" s="1"/>
      <c r="K122" s="1"/>
      <c r="L122" s="3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</row>
    <row r="123" ht="12.75" customHeight="1">
      <c r="A123" s="44" t="s">
        <v>21</v>
      </c>
      <c r="B123" s="1"/>
      <c r="C123" s="23"/>
      <c r="D123" s="9"/>
      <c r="E123" s="57">
        <f>SUM(E74:E122)</f>
        <v>0</v>
      </c>
      <c r="F123" s="47">
        <v>0.05</v>
      </c>
      <c r="G123" s="1"/>
      <c r="H123" s="62"/>
      <c r="I123" s="1"/>
      <c r="J123" s="1"/>
      <c r="K123" s="1"/>
      <c r="L123" s="3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</row>
    <row r="124" ht="12.75" customHeight="1">
      <c r="A124" s="44"/>
      <c r="B124" s="1"/>
      <c r="C124" s="23"/>
      <c r="D124" s="9"/>
      <c r="E124" s="57"/>
      <c r="F124" s="44">
        <f>E123*F123</f>
        <v>0</v>
      </c>
      <c r="G124" s="39">
        <f>E123+F124</f>
        <v>0</v>
      </c>
      <c r="H124" s="1"/>
      <c r="I124" s="1"/>
      <c r="J124" s="1"/>
      <c r="K124" s="1"/>
      <c r="L124" s="3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</row>
    <row r="125" ht="12.75" customHeight="1">
      <c r="A125" s="44"/>
      <c r="B125" s="1"/>
      <c r="C125" s="23"/>
      <c r="D125" s="9"/>
      <c r="E125" s="57"/>
      <c r="F125" s="1"/>
      <c r="G125" s="39"/>
      <c r="H125" s="38"/>
      <c r="I125" s="23"/>
      <c r="J125" s="23"/>
      <c r="K125" s="23"/>
      <c r="L125" s="3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</row>
    <row r="126" ht="12.75" customHeight="1">
      <c r="A126" s="44"/>
      <c r="B126" s="1"/>
      <c r="C126" s="1"/>
      <c r="D126" s="2"/>
      <c r="E126" s="57"/>
      <c r="F126" s="1"/>
      <c r="G126" s="39"/>
      <c r="H126" s="38"/>
      <c r="I126" s="23" t="s">
        <v>155</v>
      </c>
      <c r="J126" s="23" t="s">
        <v>156</v>
      </c>
      <c r="K126" s="23" t="s">
        <v>157</v>
      </c>
      <c r="L126" s="39" t="s">
        <v>158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</row>
    <row r="127" ht="12.75" customHeight="1">
      <c r="A127" s="44" t="s">
        <v>159</v>
      </c>
      <c r="B127" s="1"/>
      <c r="C127" s="1"/>
      <c r="D127" s="2"/>
      <c r="E127" s="57">
        <f>H133</f>
        <v>0</v>
      </c>
      <c r="F127" s="1"/>
      <c r="G127" s="64" t="s">
        <v>160</v>
      </c>
      <c r="H127" s="65">
        <f>I127*J127*K127*2*L127</f>
        <v>0</v>
      </c>
      <c r="I127" s="66"/>
      <c r="J127" s="23">
        <v>0.35</v>
      </c>
      <c r="K127" s="23">
        <v>4.3</v>
      </c>
      <c r="L127" s="6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</row>
    <row r="128" ht="12.75" customHeight="1">
      <c r="A128" s="44"/>
      <c r="B128" s="1"/>
      <c r="C128" s="1"/>
      <c r="D128" s="2"/>
      <c r="E128" s="57"/>
      <c r="F128" s="56"/>
      <c r="G128" s="64" t="s">
        <v>161</v>
      </c>
      <c r="H128" s="65">
        <f>I128/J128</f>
        <v>0</v>
      </c>
      <c r="I128" s="66"/>
      <c r="J128" s="1">
        <v>12.0</v>
      </c>
      <c r="K128" s="1"/>
      <c r="L128" s="3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</row>
    <row r="129" ht="12.75" customHeight="1">
      <c r="A129" s="56" t="s">
        <v>162</v>
      </c>
      <c r="B129" s="56"/>
      <c r="C129" s="56"/>
      <c r="D129" s="68"/>
      <c r="E129" s="69">
        <f>E127+G124+G69+I36</f>
        <v>0</v>
      </c>
      <c r="F129" s="70"/>
      <c r="G129" s="71" t="s">
        <v>163</v>
      </c>
      <c r="H129" s="72">
        <v>0.0</v>
      </c>
      <c r="I129" s="1"/>
      <c r="J129" s="1"/>
      <c r="K129" s="1"/>
      <c r="L129" s="3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</row>
    <row r="130" ht="12.75" customHeight="1">
      <c r="A130" s="58" t="s">
        <v>164</v>
      </c>
      <c r="B130" s="58"/>
      <c r="C130" s="58"/>
      <c r="D130" s="73">
        <v>0.2</v>
      </c>
      <c r="E130" s="74">
        <f>E129*D130</f>
        <v>0</v>
      </c>
      <c r="F130" s="59"/>
      <c r="G130" s="64" t="s">
        <v>165</v>
      </c>
      <c r="H130" s="65">
        <f>1*A21</f>
        <v>0</v>
      </c>
      <c r="I130" s="56" t="s">
        <v>166</v>
      </c>
      <c r="J130" s="56"/>
      <c r="K130" s="56"/>
      <c r="L130" s="3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</row>
    <row r="131" ht="12.75" customHeight="1">
      <c r="A131" s="59" t="s">
        <v>38</v>
      </c>
      <c r="B131" s="59"/>
      <c r="C131" s="59"/>
      <c r="D131" s="68"/>
      <c r="E131" s="75">
        <f>SUM(E129:E130)+E148</f>
        <v>0</v>
      </c>
      <c r="F131" s="8"/>
      <c r="G131" s="64" t="s">
        <v>167</v>
      </c>
      <c r="H131" s="76">
        <v>0.0</v>
      </c>
      <c r="I131" s="77">
        <f>E131*J131*L131</f>
        <v>0</v>
      </c>
      <c r="J131" s="70">
        <v>0.0142</v>
      </c>
      <c r="K131" s="58" t="s">
        <v>168</v>
      </c>
      <c r="L131" s="6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</row>
    <row r="132" ht="12.75" customHeight="1">
      <c r="A132" s="8" t="s">
        <v>169</v>
      </c>
      <c r="B132" s="8"/>
      <c r="C132" s="8"/>
      <c r="D132" s="68">
        <v>12.0</v>
      </c>
      <c r="E132" s="74">
        <f>E131*D132</f>
        <v>0</v>
      </c>
      <c r="F132" s="1"/>
      <c r="G132" s="78" t="s">
        <v>170</v>
      </c>
      <c r="H132" s="79">
        <v>0.0</v>
      </c>
      <c r="I132" s="59"/>
      <c r="J132" s="59"/>
      <c r="K132" s="59"/>
      <c r="L132" s="3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</row>
    <row r="133" ht="12.75" customHeight="1">
      <c r="A133" s="1"/>
      <c r="B133" s="1"/>
      <c r="C133" s="1"/>
      <c r="D133" s="2"/>
      <c r="E133" s="1"/>
      <c r="F133" s="1"/>
      <c r="G133" s="80" t="s">
        <v>21</v>
      </c>
      <c r="H133" s="81">
        <f>SUM(H127:H132)</f>
        <v>0</v>
      </c>
      <c r="I133" s="8"/>
      <c r="J133" s="8"/>
      <c r="K133" s="8"/>
      <c r="L133" s="3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</row>
    <row r="134" ht="12.75" customHeight="1">
      <c r="A134" s="1"/>
      <c r="B134" s="1"/>
      <c r="C134" s="1"/>
      <c r="D134" s="2"/>
      <c r="E134" s="1"/>
      <c r="F134" s="1"/>
      <c r="G134" s="34"/>
      <c r="H134" s="62"/>
      <c r="I134" s="1"/>
      <c r="J134" s="1"/>
      <c r="K134" s="1"/>
      <c r="L134" s="3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</row>
    <row r="135" ht="12.75" customHeight="1">
      <c r="A135" s="1"/>
      <c r="B135" s="1"/>
      <c r="C135" s="1"/>
      <c r="D135" s="2"/>
      <c r="E135" s="1"/>
      <c r="F135" s="1"/>
      <c r="G135" s="34"/>
      <c r="H135" s="62"/>
      <c r="I135" s="1"/>
      <c r="J135" s="1"/>
      <c r="K135" s="1"/>
      <c r="L135" s="3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</row>
    <row r="136" ht="12.75" customHeight="1">
      <c r="A136" s="22" t="s">
        <v>171</v>
      </c>
      <c r="B136" s="22" t="s">
        <v>172</v>
      </c>
      <c r="C136" s="22" t="s">
        <v>173</v>
      </c>
      <c r="D136" s="68" t="s">
        <v>174</v>
      </c>
      <c r="E136" s="22" t="s">
        <v>21</v>
      </c>
      <c r="F136" s="1"/>
      <c r="G136" s="34"/>
      <c r="H136" s="8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</row>
    <row r="137" ht="12.75" customHeight="1">
      <c r="A137" s="22"/>
      <c r="B137" s="22" t="s">
        <v>175</v>
      </c>
      <c r="C137" s="22" t="s">
        <v>176</v>
      </c>
      <c r="D137" s="68" t="s">
        <v>177</v>
      </c>
      <c r="E137" s="22" t="s">
        <v>178</v>
      </c>
      <c r="F137" s="1"/>
      <c r="G137" s="34"/>
      <c r="H137" s="8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</row>
    <row r="138" ht="12.75" customHeight="1">
      <c r="A138" s="1" t="s">
        <v>179</v>
      </c>
      <c r="B138" s="83">
        <v>0.0</v>
      </c>
      <c r="C138" s="83">
        <v>0.0</v>
      </c>
      <c r="D138" s="84">
        <v>1.2</v>
      </c>
      <c r="E138" s="83">
        <f t="shared" ref="E138:E146" si="27">B138*C138*D138</f>
        <v>0</v>
      </c>
      <c r="F138" s="1"/>
      <c r="G138" s="34"/>
      <c r="H138" s="3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</row>
    <row r="139" ht="12.75" customHeight="1">
      <c r="A139" s="1" t="s">
        <v>180</v>
      </c>
      <c r="B139" s="83">
        <v>0.0</v>
      </c>
      <c r="C139" s="1">
        <v>0.0</v>
      </c>
      <c r="D139" s="84">
        <v>1.5</v>
      </c>
      <c r="E139" s="83">
        <f t="shared" si="27"/>
        <v>0</v>
      </c>
      <c r="F139" s="1"/>
      <c r="G139" s="34"/>
      <c r="H139" s="3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</row>
    <row r="140" ht="12.75" customHeight="1">
      <c r="A140" s="1" t="s">
        <v>181</v>
      </c>
      <c r="B140" s="83">
        <v>0.0</v>
      </c>
      <c r="C140" s="83">
        <v>0.0</v>
      </c>
      <c r="D140" s="84">
        <v>1.5</v>
      </c>
      <c r="E140" s="83">
        <f t="shared" si="27"/>
        <v>0</v>
      </c>
      <c r="F140" s="1"/>
      <c r="G140" s="34"/>
      <c r="H140" s="6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</row>
    <row r="141" ht="12.75" customHeight="1">
      <c r="A141" s="1" t="s">
        <v>182</v>
      </c>
      <c r="B141" s="83">
        <v>0.0</v>
      </c>
      <c r="C141" s="83">
        <v>0.0</v>
      </c>
      <c r="D141" s="84">
        <v>10.0</v>
      </c>
      <c r="E141" s="83">
        <f t="shared" si="27"/>
        <v>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</row>
    <row r="142" ht="12.75" customHeight="1">
      <c r="A142" s="1" t="s">
        <v>183</v>
      </c>
      <c r="B142" s="83">
        <v>0.0</v>
      </c>
      <c r="C142" s="83">
        <v>0.0</v>
      </c>
      <c r="D142" s="84">
        <v>30.0</v>
      </c>
      <c r="E142" s="83">
        <f t="shared" si="27"/>
        <v>0</v>
      </c>
      <c r="F142" s="1"/>
      <c r="G142" s="1"/>
      <c r="H142" s="1"/>
      <c r="I142" s="1"/>
      <c r="J142" s="1"/>
      <c r="K142" s="1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56"/>
      <c r="CP142" s="56"/>
      <c r="CQ142" s="56"/>
      <c r="CR142" s="56"/>
      <c r="CS142" s="56"/>
    </row>
    <row r="143" ht="12.75" customHeight="1">
      <c r="A143" s="1" t="s">
        <v>184</v>
      </c>
      <c r="B143" s="83">
        <v>0.0</v>
      </c>
      <c r="C143" s="1">
        <v>0.0</v>
      </c>
      <c r="D143" s="84">
        <v>0.12</v>
      </c>
      <c r="E143" s="83">
        <f t="shared" si="27"/>
        <v>0</v>
      </c>
      <c r="F143" s="1"/>
      <c r="G143" s="1"/>
      <c r="H143" s="1"/>
      <c r="I143" s="1"/>
      <c r="J143" s="1"/>
      <c r="K143" s="1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58"/>
    </row>
    <row r="144" ht="12.75" customHeight="1">
      <c r="A144" s="1" t="s">
        <v>185</v>
      </c>
      <c r="B144" s="83">
        <v>0.0</v>
      </c>
      <c r="C144" s="1">
        <v>0.0</v>
      </c>
      <c r="D144" s="84">
        <v>0.37</v>
      </c>
      <c r="E144" s="83">
        <f t="shared" si="27"/>
        <v>0</v>
      </c>
      <c r="F144" s="1"/>
      <c r="G144" s="1"/>
      <c r="H144" s="1"/>
      <c r="I144" s="1"/>
      <c r="J144" s="1"/>
      <c r="K144" s="1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</row>
    <row r="145" ht="12.75" customHeight="1">
      <c r="A145" s="1" t="s">
        <v>186</v>
      </c>
      <c r="B145" s="83">
        <v>0.0</v>
      </c>
      <c r="C145" s="1">
        <v>0.0</v>
      </c>
      <c r="D145" s="84">
        <v>3.5</v>
      </c>
      <c r="E145" s="83">
        <f t="shared" si="27"/>
        <v>0</v>
      </c>
      <c r="F145" s="1"/>
      <c r="G145" s="1"/>
      <c r="H145" s="1"/>
      <c r="I145" s="1"/>
      <c r="J145" s="1"/>
      <c r="K145" s="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</row>
    <row r="146" ht="12.75" customHeight="1">
      <c r="A146" s="1" t="s">
        <v>187</v>
      </c>
      <c r="B146" s="83">
        <v>0.0</v>
      </c>
      <c r="C146" s="1">
        <v>0.0</v>
      </c>
      <c r="D146" s="84">
        <v>2.5</v>
      </c>
      <c r="E146" s="83">
        <f t="shared" si="27"/>
        <v>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</row>
    <row r="148" ht="12.75" customHeight="1">
      <c r="A148" s="1" t="s">
        <v>188</v>
      </c>
      <c r="B148" s="1"/>
      <c r="C148" s="1"/>
      <c r="D148" s="2"/>
      <c r="E148" s="31">
        <f>SUM(E138:E147)/12</f>
        <v>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</row>
    <row r="150" ht="12.75" customHeight="1">
      <c r="A150" s="1" t="s">
        <v>189</v>
      </c>
      <c r="B150" s="1"/>
      <c r="C150" s="1"/>
      <c r="D150" s="2">
        <v>3.87</v>
      </c>
      <c r="E150" s="1">
        <v>2.2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</row>
  </sheetData>
  <mergeCells count="1">
    <mergeCell ref="B8:E8"/>
  </mergeCells>
  <conditionalFormatting sqref="E130">
    <cfRule type="cellIs" dxfId="0" priority="1" operator="lessThan">
      <formula>30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10.0"/>
    <col customWidth="1" min="3" max="3" width="9.14"/>
    <col customWidth="1" min="4" max="4" width="12.43"/>
    <col customWidth="1" min="5" max="5" width="12.71"/>
    <col customWidth="1" min="6" max="6" width="15.0"/>
    <col customWidth="1" min="7" max="7" width="20.43"/>
    <col customWidth="1" min="8" max="9" width="15.14"/>
    <col customWidth="1" min="10" max="10" width="18.71"/>
    <col customWidth="1" min="11" max="11" width="13.71"/>
    <col customWidth="1" min="12" max="12" width="17.43"/>
    <col customWidth="1" min="13" max="13" width="11.43"/>
    <col customWidth="1" min="14" max="14" width="16.29"/>
    <col customWidth="1" min="15" max="15" width="11.43"/>
    <col customWidth="1" min="16" max="16" width="9.0"/>
    <col customWidth="1" min="17" max="17" width="16.14"/>
    <col customWidth="1" min="18" max="97" width="11.43"/>
  </cols>
  <sheetData>
    <row r="1" ht="12.75" customHeight="1">
      <c r="A1" s="1"/>
      <c r="B1" s="1"/>
      <c r="C1" s="1"/>
      <c r="D1" s="2"/>
      <c r="E1" s="1"/>
      <c r="F1" s="1"/>
      <c r="G1" s="1"/>
      <c r="H1" s="3" t="s">
        <v>0</v>
      </c>
      <c r="I1" s="4" t="s">
        <v>1</v>
      </c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ht="12.75" customHeight="1">
      <c r="A2" s="1"/>
      <c r="B2" s="1"/>
      <c r="C2" s="1"/>
      <c r="D2" s="2" t="s">
        <v>2</v>
      </c>
      <c r="E2" s="1"/>
      <c r="F2" s="1"/>
      <c r="G2" s="1"/>
      <c r="H2" s="6">
        <v>2.01</v>
      </c>
      <c r="I2" s="5"/>
      <c r="J2" s="5"/>
      <c r="K2" s="5"/>
      <c r="L2" s="7" t="s">
        <v>0</v>
      </c>
      <c r="M2" s="7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ht="12.75" customHeight="1">
      <c r="A3" s="8" t="s">
        <v>3</v>
      </c>
      <c r="B3" s="1"/>
      <c r="C3" s="1"/>
      <c r="D3" s="9" t="s">
        <v>4</v>
      </c>
      <c r="E3" s="1"/>
      <c r="F3" s="1"/>
      <c r="G3" s="1"/>
      <c r="H3" s="6">
        <v>3.02</v>
      </c>
      <c r="I3" s="5"/>
      <c r="J3" s="10" t="s">
        <v>5</v>
      </c>
      <c r="K3" s="11"/>
      <c r="L3" s="12">
        <v>475.0</v>
      </c>
      <c r="M3" s="13">
        <f>L3/2</f>
        <v>237.5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ht="12.75" customHeight="1">
      <c r="A4" s="14"/>
      <c r="B4" s="15" t="s">
        <v>6</v>
      </c>
      <c r="C4" s="1"/>
      <c r="D4" s="9" t="s">
        <v>7</v>
      </c>
      <c r="E4" s="1"/>
      <c r="F4" s="1"/>
      <c r="G4" s="1"/>
      <c r="H4" s="6">
        <v>4.02</v>
      </c>
      <c r="I4" s="5"/>
      <c r="J4" s="10" t="s">
        <v>8</v>
      </c>
      <c r="K4" s="11"/>
      <c r="L4" s="12">
        <v>485.0</v>
      </c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ht="12.75" customHeight="1">
      <c r="A5" s="16"/>
      <c r="B5" s="1"/>
      <c r="C5" s="1"/>
      <c r="D5" s="9" t="s">
        <v>9</v>
      </c>
      <c r="E5" s="1"/>
      <c r="F5" s="1"/>
      <c r="G5" s="1"/>
      <c r="H5" s="6">
        <v>0.5</v>
      </c>
      <c r="I5" s="5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ht="12.75" customHeight="1">
      <c r="A6" s="1"/>
      <c r="B6" s="1"/>
      <c r="C6" s="1"/>
      <c r="D6" s="17" t="s">
        <v>10</v>
      </c>
      <c r="E6" s="1"/>
      <c r="F6" s="1"/>
      <c r="G6" s="1"/>
      <c r="H6" s="18">
        <v>0.455</v>
      </c>
      <c r="I6" s="19">
        <v>0.5066</v>
      </c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ht="12.75" customHeight="1">
      <c r="A7" s="21" t="s">
        <v>11</v>
      </c>
      <c r="B7" s="22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ht="12.75" customHeight="1">
      <c r="A8" s="1"/>
      <c r="B8" s="1"/>
      <c r="C8" s="2" t="s">
        <v>14</v>
      </c>
      <c r="D8" s="23" t="s">
        <v>13</v>
      </c>
      <c r="E8" s="23" t="s">
        <v>15</v>
      </c>
      <c r="F8" s="23" t="s">
        <v>18</v>
      </c>
      <c r="G8" s="23" t="s">
        <v>19</v>
      </c>
      <c r="H8" s="85" t="s">
        <v>191</v>
      </c>
      <c r="I8" s="23" t="s">
        <v>192</v>
      </c>
      <c r="J8" s="23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ht="12.75" customHeight="1">
      <c r="A9" s="22" t="s">
        <v>22</v>
      </c>
      <c r="B9" s="23" t="s">
        <v>23</v>
      </c>
      <c r="C9" s="2" t="s">
        <v>25</v>
      </c>
      <c r="D9" s="23" t="s">
        <v>24</v>
      </c>
      <c r="E9" s="23" t="s">
        <v>26</v>
      </c>
      <c r="F9" s="23" t="s">
        <v>28</v>
      </c>
      <c r="G9" s="23" t="s">
        <v>29</v>
      </c>
      <c r="I9" s="23"/>
      <c r="J9" s="23" t="s">
        <v>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ht="12.75" customHeight="1">
      <c r="A10" s="23"/>
      <c r="B10" s="1"/>
      <c r="C10" s="2"/>
      <c r="D10" s="1"/>
      <c r="E10" s="1"/>
      <c r="F10" s="1"/>
      <c r="G10" s="22"/>
      <c r="H10" s="86"/>
      <c r="I10" s="24">
        <v>0.25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ht="12.75" customHeight="1">
      <c r="A11" s="87"/>
      <c r="B11" s="88"/>
      <c r="C11" s="30"/>
      <c r="D11" s="23">
        <v>0.0</v>
      </c>
      <c r="E11" s="28">
        <v>464.94</v>
      </c>
      <c r="F11" s="27"/>
      <c r="G11" s="28">
        <f t="shared" ref="G11:G12" si="1">F11*$H$5</f>
        <v>0</v>
      </c>
      <c r="H11" s="89"/>
      <c r="I11" s="28">
        <f t="shared" ref="I11:I12" si="2">H11*$I$10*2*4.3</f>
        <v>0</v>
      </c>
      <c r="J11" s="28">
        <f t="shared" ref="J11:J12" si="3">E11+G11+I11</f>
        <v>464.94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ht="12.75" customHeight="1">
      <c r="A12" s="23"/>
      <c r="B12" s="25"/>
      <c r="C12" s="30"/>
      <c r="D12" s="23">
        <v>0.0</v>
      </c>
      <c r="E12" s="28">
        <v>233.0</v>
      </c>
      <c r="F12" s="27"/>
      <c r="G12" s="28">
        <f t="shared" si="1"/>
        <v>0</v>
      </c>
      <c r="H12" s="89"/>
      <c r="I12" s="28">
        <f t="shared" si="2"/>
        <v>0</v>
      </c>
      <c r="J12" s="28">
        <f t="shared" si="3"/>
        <v>233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ht="12.75" customHeight="1">
      <c r="A13" s="23">
        <f>SUM(A11:A12)</f>
        <v>0</v>
      </c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3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ht="12.75" customHeight="1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ht="12.75" customHeight="1">
      <c r="A15" s="21"/>
      <c r="B15" s="21"/>
      <c r="C15" s="21"/>
      <c r="D15" s="32"/>
      <c r="E15" s="21"/>
      <c r="F15" s="21"/>
      <c r="G15" s="23" t="s">
        <v>37</v>
      </c>
      <c r="H15" s="23" t="s">
        <v>13</v>
      </c>
      <c r="I15" s="23" t="s">
        <v>38</v>
      </c>
      <c r="J15" s="21"/>
      <c r="K15" s="33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</row>
    <row r="16" ht="12.75" customHeight="1">
      <c r="A16" s="52" t="s">
        <v>102</v>
      </c>
      <c r="B16" s="53" t="s">
        <v>47</v>
      </c>
      <c r="C16" s="54">
        <f>A13</f>
        <v>0</v>
      </c>
      <c r="D16" s="55">
        <v>30.0</v>
      </c>
      <c r="E16" s="38">
        <f t="shared" ref="E16:E17" si="4">D16*C16/12</f>
        <v>0</v>
      </c>
      <c r="F16" s="39"/>
      <c r="G16" s="23" t="s">
        <v>41</v>
      </c>
      <c r="H16" s="23" t="s">
        <v>15</v>
      </c>
      <c r="I16" s="23" t="s">
        <v>42</v>
      </c>
      <c r="J16" s="1"/>
      <c r="K16" s="1"/>
      <c r="L16" s="3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37">
        <v>2.93</v>
      </c>
      <c r="CR16" s="39">
        <f t="shared" ref="CR16:CR36" si="5">CQ16*5%</f>
        <v>0.1465</v>
      </c>
      <c r="CS16" s="39">
        <f t="shared" ref="CS16:CS36" si="6">CQ16+CR16</f>
        <v>3.0765</v>
      </c>
    </row>
    <row r="17" ht="12.75" customHeight="1">
      <c r="A17" s="52" t="s">
        <v>103</v>
      </c>
      <c r="B17" s="53" t="s">
        <v>47</v>
      </c>
      <c r="C17" s="54">
        <f>A13</f>
        <v>0</v>
      </c>
      <c r="D17" s="55">
        <v>38.0</v>
      </c>
      <c r="E17" s="38">
        <f t="shared" si="4"/>
        <v>0</v>
      </c>
      <c r="F17" s="39"/>
      <c r="G17" s="1"/>
      <c r="H17" s="1"/>
      <c r="I17" s="1"/>
      <c r="J17" s="1"/>
      <c r="K17" s="1"/>
      <c r="L17" s="3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37">
        <v>1.24</v>
      </c>
      <c r="CR17" s="39">
        <f t="shared" si="5"/>
        <v>0.062</v>
      </c>
      <c r="CS17" s="39">
        <f t="shared" si="6"/>
        <v>1.302</v>
      </c>
    </row>
    <row r="18" ht="12.75" customHeight="1">
      <c r="A18" s="44" t="s">
        <v>21</v>
      </c>
      <c r="B18" s="1"/>
      <c r="C18" s="36"/>
      <c r="D18" s="9"/>
      <c r="E18" s="57">
        <f>SUM(E16:E17)</f>
        <v>0</v>
      </c>
      <c r="F18" s="39"/>
      <c r="G18" s="28">
        <f>J11*$I$6</f>
        <v>235.538604</v>
      </c>
      <c r="H18" s="28">
        <f t="shared" ref="H18:H19" si="7">J11+G18</f>
        <v>700.478604</v>
      </c>
      <c r="I18" s="28">
        <f t="shared" ref="I18:I19" si="8">H18*A11</f>
        <v>0</v>
      </c>
      <c r="J18" s="1"/>
      <c r="K18" s="1"/>
      <c r="L18" s="3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37">
        <v>1.66</v>
      </c>
      <c r="CR18" s="39">
        <f t="shared" si="5"/>
        <v>0.083</v>
      </c>
      <c r="CS18" s="39">
        <f t="shared" si="6"/>
        <v>1.743</v>
      </c>
    </row>
    <row r="19" ht="12.75" customHeight="1">
      <c r="A19" s="34"/>
      <c r="B19" s="35"/>
      <c r="C19" s="36"/>
      <c r="D19" s="37"/>
      <c r="E19" s="38"/>
      <c r="F19" s="39"/>
      <c r="G19" s="28">
        <f>J12*$H$6</f>
        <v>106.015</v>
      </c>
      <c r="H19" s="28">
        <f t="shared" si="7"/>
        <v>339.015</v>
      </c>
      <c r="I19" s="28">
        <f t="shared" si="8"/>
        <v>0</v>
      </c>
      <c r="J19" s="1"/>
      <c r="K19" s="1"/>
      <c r="L19" s="3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37">
        <v>1.82</v>
      </c>
      <c r="CR19" s="39">
        <f t="shared" si="5"/>
        <v>0.091</v>
      </c>
      <c r="CS19" s="39">
        <f t="shared" si="6"/>
        <v>1.911</v>
      </c>
    </row>
    <row r="20" ht="12.75" customHeight="1">
      <c r="A20" s="44" t="s">
        <v>159</v>
      </c>
      <c r="B20" s="1"/>
      <c r="C20" s="1"/>
      <c r="D20" s="2"/>
      <c r="E20" s="57">
        <f>B34</f>
        <v>0</v>
      </c>
      <c r="F20" s="39"/>
      <c r="G20" s="28"/>
      <c r="H20" s="28"/>
      <c r="I20" s="28"/>
      <c r="J20" s="1"/>
      <c r="K20" s="90"/>
      <c r="L20" s="3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37">
        <v>2.8</v>
      </c>
      <c r="CR20" s="39">
        <f t="shared" si="5"/>
        <v>0.14</v>
      </c>
      <c r="CS20" s="39">
        <f t="shared" si="6"/>
        <v>2.94</v>
      </c>
    </row>
    <row r="21" ht="12.75" customHeight="1">
      <c r="A21" s="44"/>
      <c r="B21" s="1"/>
      <c r="C21" s="1"/>
      <c r="D21" s="2"/>
      <c r="E21" s="57"/>
      <c r="F21" s="39"/>
      <c r="G21" s="28"/>
      <c r="H21" s="28"/>
      <c r="I21" s="28">
        <f>E11*K21</f>
        <v>116.235</v>
      </c>
      <c r="J21" s="1" t="s">
        <v>193</v>
      </c>
      <c r="K21" s="20">
        <v>0.25</v>
      </c>
      <c r="L21" s="3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37">
        <v>1.05</v>
      </c>
      <c r="CR21" s="39">
        <f t="shared" si="5"/>
        <v>0.0525</v>
      </c>
      <c r="CS21" s="39">
        <f t="shared" si="6"/>
        <v>1.1025</v>
      </c>
    </row>
    <row r="22" ht="12.75" customHeight="1">
      <c r="A22" s="56" t="s">
        <v>162</v>
      </c>
      <c r="B22" s="56"/>
      <c r="C22" s="56"/>
      <c r="D22" s="68"/>
      <c r="E22" s="69">
        <f>E20+I25+E18</f>
        <v>116.235</v>
      </c>
      <c r="F22" s="39"/>
      <c r="G22" s="28"/>
      <c r="H22" s="28"/>
      <c r="I22" s="28"/>
      <c r="J22" s="1"/>
      <c r="K22" s="1"/>
      <c r="L22" s="3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37">
        <v>8.64</v>
      </c>
      <c r="CR22" s="39">
        <f t="shared" si="5"/>
        <v>0.432</v>
      </c>
      <c r="CS22" s="39">
        <f t="shared" si="6"/>
        <v>9.072</v>
      </c>
    </row>
    <row r="23" ht="12.75" customHeight="1">
      <c r="A23" s="58" t="s">
        <v>164</v>
      </c>
      <c r="B23" s="58"/>
      <c r="C23" s="58"/>
      <c r="D23" s="73">
        <v>0.12</v>
      </c>
      <c r="E23" s="91">
        <f>E22*D23</f>
        <v>13.9482</v>
      </c>
      <c r="F23" s="39"/>
      <c r="G23" s="1"/>
      <c r="H23" s="1"/>
      <c r="I23" s="1"/>
      <c r="J23" s="1"/>
      <c r="K23" s="1"/>
      <c r="L23" s="3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37">
        <v>1.3</v>
      </c>
      <c r="CR23" s="39">
        <f t="shared" si="5"/>
        <v>0.065</v>
      </c>
      <c r="CS23" s="39">
        <f t="shared" si="6"/>
        <v>1.365</v>
      </c>
    </row>
    <row r="24" ht="12.75" customHeight="1">
      <c r="A24" s="59" t="s">
        <v>38</v>
      </c>
      <c r="B24" s="59"/>
      <c r="C24" s="59"/>
      <c r="D24" s="68"/>
      <c r="E24" s="75">
        <f>SUM(E22:E23)+E99</f>
        <v>130.1832</v>
      </c>
      <c r="F24" s="39"/>
      <c r="G24" s="1"/>
      <c r="H24" s="1"/>
      <c r="I24" s="1"/>
      <c r="J24" s="1"/>
      <c r="K24" s="1"/>
      <c r="L24" s="3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37">
        <v>0.85</v>
      </c>
      <c r="CR24" s="39">
        <f t="shared" si="5"/>
        <v>0.0425</v>
      </c>
      <c r="CS24" s="39">
        <f t="shared" si="6"/>
        <v>0.8925</v>
      </c>
    </row>
    <row r="25" ht="12.75" customHeight="1">
      <c r="A25" s="8" t="s">
        <v>169</v>
      </c>
      <c r="B25" s="8"/>
      <c r="C25" s="8"/>
      <c r="D25" s="68">
        <v>12.0</v>
      </c>
      <c r="E25" s="74">
        <f>E24*D25</f>
        <v>1562.1984</v>
      </c>
      <c r="F25" s="39"/>
      <c r="G25" s="1" t="s">
        <v>57</v>
      </c>
      <c r="H25" s="1"/>
      <c r="I25" s="40">
        <f>SUM(I18:I22)</f>
        <v>116.235</v>
      </c>
      <c r="J25" s="1"/>
      <c r="K25" s="1"/>
      <c r="L25" s="3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37">
        <v>2.35</v>
      </c>
      <c r="CR25" s="39">
        <f t="shared" si="5"/>
        <v>0.1175</v>
      </c>
      <c r="CS25" s="39">
        <f t="shared" si="6"/>
        <v>2.4675</v>
      </c>
    </row>
    <row r="26" ht="12.75" customHeight="1">
      <c r="A26" s="34"/>
      <c r="B26" s="35"/>
      <c r="C26" s="36"/>
      <c r="D26" s="37"/>
      <c r="E26" s="38"/>
      <c r="F26" s="39"/>
      <c r="G26" s="1"/>
      <c r="H26" s="1"/>
      <c r="I26" s="1"/>
      <c r="J26" s="1"/>
      <c r="K26" s="1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37">
        <v>1.83</v>
      </c>
      <c r="CR26" s="39">
        <f t="shared" si="5"/>
        <v>0.0915</v>
      </c>
      <c r="CS26" s="39">
        <f t="shared" si="6"/>
        <v>1.9215</v>
      </c>
    </row>
    <row r="27" ht="12.75" customHeight="1">
      <c r="A27" s="34"/>
      <c r="B27" s="35"/>
      <c r="C27" s="36"/>
      <c r="D27" s="37"/>
      <c r="E27" s="38"/>
      <c r="F27" s="39"/>
      <c r="G27" s="1"/>
      <c r="H27" s="1"/>
      <c r="I27" s="1"/>
      <c r="J27" s="1"/>
      <c r="K27" s="1"/>
      <c r="L27" s="3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37">
        <v>7.5</v>
      </c>
      <c r="CR27" s="39">
        <f t="shared" si="5"/>
        <v>0.375</v>
      </c>
      <c r="CS27" s="39">
        <f t="shared" si="6"/>
        <v>7.875</v>
      </c>
    </row>
    <row r="28" ht="12.75" customHeight="1">
      <c r="A28" s="34"/>
      <c r="B28" s="35"/>
      <c r="C28" s="36"/>
      <c r="D28" s="37"/>
      <c r="E28" s="38"/>
      <c r="F28" s="39"/>
      <c r="G28" s="1"/>
      <c r="H28" s="1"/>
      <c r="I28" s="1"/>
      <c r="J28" s="1"/>
      <c r="K28" s="1"/>
      <c r="L28" s="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37">
        <v>0.9</v>
      </c>
      <c r="CR28" s="39">
        <f t="shared" si="5"/>
        <v>0.045</v>
      </c>
      <c r="CS28" s="39">
        <f t="shared" si="6"/>
        <v>0.945</v>
      </c>
    </row>
    <row r="29" ht="12.75" customHeight="1">
      <c r="A29" s="64" t="s">
        <v>161</v>
      </c>
      <c r="B29" s="65">
        <v>0.0</v>
      </c>
      <c r="C29" s="1"/>
      <c r="D29" s="2"/>
      <c r="E29" s="1"/>
      <c r="F29" s="39"/>
      <c r="G29" s="1" t="s">
        <v>194</v>
      </c>
      <c r="H29" s="92">
        <v>32.33</v>
      </c>
      <c r="I29" s="1"/>
      <c r="J29" s="1"/>
      <c r="K29" s="1"/>
      <c r="L29" s="3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37">
        <v>0.95</v>
      </c>
      <c r="CR29" s="39">
        <f t="shared" si="5"/>
        <v>0.0475</v>
      </c>
      <c r="CS29" s="39">
        <f t="shared" si="6"/>
        <v>0.9975</v>
      </c>
    </row>
    <row r="30" ht="12.75" customHeight="1">
      <c r="A30" s="71" t="s">
        <v>192</v>
      </c>
      <c r="B30" s="65">
        <v>0.0</v>
      </c>
      <c r="C30" s="1"/>
      <c r="D30" s="2"/>
      <c r="E30" s="1"/>
      <c r="F30" s="39"/>
      <c r="G30" s="1" t="s">
        <v>195</v>
      </c>
      <c r="H30" s="39">
        <v>18.4</v>
      </c>
      <c r="I30" s="1"/>
      <c r="J30" s="1"/>
      <c r="K30" s="1"/>
      <c r="L30" s="3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37">
        <v>1.22</v>
      </c>
      <c r="CR30" s="39">
        <f t="shared" si="5"/>
        <v>0.061</v>
      </c>
      <c r="CS30" s="39">
        <f t="shared" si="6"/>
        <v>1.281</v>
      </c>
    </row>
    <row r="31" ht="12.75" customHeight="1">
      <c r="A31" s="64" t="s">
        <v>165</v>
      </c>
      <c r="B31" s="65">
        <v>0.0</v>
      </c>
      <c r="C31" s="56"/>
      <c r="D31" s="2"/>
      <c r="E31" s="1"/>
      <c r="F31" s="39"/>
      <c r="G31" s="1" t="s">
        <v>196</v>
      </c>
      <c r="H31" s="39">
        <f>(E24/25)/8</f>
        <v>0.650916</v>
      </c>
      <c r="I31" s="1"/>
      <c r="J31" s="1"/>
      <c r="K31" s="1"/>
      <c r="L31" s="3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37">
        <v>1.76</v>
      </c>
      <c r="CR31" s="39">
        <f t="shared" si="5"/>
        <v>0.088</v>
      </c>
      <c r="CS31" s="39">
        <f t="shared" si="6"/>
        <v>1.848</v>
      </c>
    </row>
    <row r="32" ht="12.75" customHeight="1">
      <c r="A32" s="64" t="s">
        <v>197</v>
      </c>
      <c r="B32" s="65">
        <v>0.0</v>
      </c>
      <c r="C32" s="58"/>
      <c r="D32" s="58"/>
      <c r="E32" s="58"/>
      <c r="F32" s="39"/>
      <c r="G32" s="1"/>
      <c r="H32" s="1"/>
      <c r="I32" s="1"/>
      <c r="J32" s="1"/>
      <c r="K32" s="1"/>
      <c r="L32" s="3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37">
        <v>2.6</v>
      </c>
      <c r="CR32" s="39">
        <f t="shared" si="5"/>
        <v>0.13</v>
      </c>
      <c r="CS32" s="39">
        <f t="shared" si="6"/>
        <v>2.73</v>
      </c>
    </row>
    <row r="33" ht="12.75" customHeight="1">
      <c r="A33" s="78" t="s">
        <v>170</v>
      </c>
      <c r="B33" s="79">
        <v>0.0</v>
      </c>
      <c r="C33" s="59"/>
      <c r="D33" s="59"/>
      <c r="E33" s="59"/>
      <c r="F33" s="39"/>
      <c r="G33" s="1"/>
      <c r="H33" s="1"/>
      <c r="I33" s="1"/>
      <c r="J33" s="1"/>
      <c r="K33" s="1"/>
      <c r="L33" s="3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37">
        <v>1.43</v>
      </c>
      <c r="CR33" s="39">
        <f t="shared" si="5"/>
        <v>0.0715</v>
      </c>
      <c r="CS33" s="39">
        <f t="shared" si="6"/>
        <v>1.5015</v>
      </c>
    </row>
    <row r="34" ht="12.75" customHeight="1">
      <c r="A34" s="80" t="s">
        <v>21</v>
      </c>
      <c r="B34" s="81">
        <f>SUM(B29:B33)</f>
        <v>0</v>
      </c>
      <c r="C34" s="8"/>
      <c r="D34" s="8"/>
      <c r="E34" s="8"/>
      <c r="F34" s="39"/>
      <c r="G34" s="1"/>
      <c r="H34" s="1"/>
      <c r="I34" s="1"/>
      <c r="J34" s="1"/>
      <c r="K34" s="1"/>
      <c r="L34" s="3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37">
        <v>0.61</v>
      </c>
      <c r="CR34" s="39">
        <f t="shared" si="5"/>
        <v>0.0305</v>
      </c>
      <c r="CS34" s="39">
        <f t="shared" si="6"/>
        <v>0.6405</v>
      </c>
    </row>
    <row r="35" ht="12.75" customHeight="1">
      <c r="A35" s="34"/>
      <c r="B35" s="35"/>
      <c r="C35" s="36"/>
      <c r="D35" s="37"/>
      <c r="E35" s="38"/>
      <c r="F35" s="39"/>
      <c r="G35" s="1"/>
      <c r="H35" s="1"/>
      <c r="I35" s="1"/>
      <c r="J35" s="1"/>
      <c r="K35" s="1"/>
      <c r="L35" s="3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37">
        <v>2.51</v>
      </c>
      <c r="CR35" s="39">
        <f t="shared" si="5"/>
        <v>0.1255</v>
      </c>
      <c r="CS35" s="39">
        <f t="shared" si="6"/>
        <v>2.6355</v>
      </c>
    </row>
    <row r="36" ht="12.75" customHeight="1">
      <c r="A36" s="34"/>
      <c r="B36" s="35"/>
      <c r="C36" s="36"/>
      <c r="D36" s="37"/>
      <c r="E36" s="38"/>
      <c r="F36" s="39"/>
      <c r="G36" s="1"/>
      <c r="H36" s="1"/>
      <c r="I36" s="1"/>
      <c r="J36" s="1"/>
      <c r="K36" s="1"/>
      <c r="L36" s="3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37">
        <v>1.44</v>
      </c>
      <c r="CR36" s="39">
        <f t="shared" si="5"/>
        <v>0.072</v>
      </c>
      <c r="CS36" s="39">
        <f t="shared" si="6"/>
        <v>1.512</v>
      </c>
    </row>
    <row r="37" ht="12.75" customHeight="1">
      <c r="A37" s="61"/>
      <c r="B37" s="35"/>
      <c r="C37" s="36"/>
      <c r="D37" s="60"/>
      <c r="E37" s="38"/>
      <c r="F37" s="43"/>
      <c r="G37" s="34"/>
      <c r="H37" s="62"/>
      <c r="I37" s="1"/>
      <c r="J37" s="1"/>
      <c r="K37" s="1"/>
      <c r="L37" s="3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</row>
    <row r="38" ht="12.75" customHeight="1">
      <c r="A38" s="61"/>
      <c r="B38" s="35"/>
      <c r="C38" s="36"/>
      <c r="D38" s="60"/>
      <c r="E38" s="38"/>
      <c r="F38" s="43"/>
      <c r="G38" s="34"/>
      <c r="H38" s="62"/>
      <c r="I38" s="1"/>
      <c r="J38" s="1"/>
      <c r="K38" s="1"/>
      <c r="L38" s="3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</row>
    <row r="39" ht="12.75" customHeight="1">
      <c r="A39" s="61"/>
      <c r="B39" s="35"/>
      <c r="C39" s="36"/>
      <c r="D39" s="60"/>
      <c r="E39" s="38"/>
      <c r="F39" s="1"/>
      <c r="G39" s="34"/>
      <c r="H39" s="62"/>
      <c r="I39" s="1"/>
      <c r="J39" s="1"/>
      <c r="K39" s="1"/>
      <c r="L39" s="3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</row>
    <row r="40" ht="12.75" customHeight="1">
      <c r="A40" s="61"/>
      <c r="B40" s="35"/>
      <c r="C40" s="36"/>
      <c r="D40" s="60"/>
      <c r="E40" s="38"/>
      <c r="F40" s="1"/>
      <c r="G40" s="34"/>
      <c r="H40" s="62"/>
      <c r="I40" s="1"/>
      <c r="J40" s="1"/>
      <c r="K40" s="1"/>
      <c r="L40" s="3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</row>
    <row r="41" ht="12.75" customHeight="1">
      <c r="A41" s="61"/>
      <c r="B41" s="35"/>
      <c r="C41" s="36"/>
      <c r="D41" s="60"/>
      <c r="E41" s="38"/>
      <c r="F41" s="1"/>
      <c r="G41" s="34"/>
      <c r="H41" s="62"/>
      <c r="I41" s="1"/>
      <c r="J41" s="1"/>
      <c r="K41" s="1"/>
      <c r="L41" s="3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 ht="12.75" customHeight="1">
      <c r="A42" s="61"/>
      <c r="B42" s="35"/>
      <c r="C42" s="36"/>
      <c r="D42" s="60"/>
      <c r="E42" s="38"/>
      <c r="F42" s="1"/>
      <c r="G42" s="34"/>
      <c r="H42" s="62"/>
      <c r="I42" s="1"/>
      <c r="J42" s="1"/>
      <c r="K42" s="1"/>
      <c r="L42" s="3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ht="12.75" customHeight="1">
      <c r="A43" s="61"/>
      <c r="B43" s="35"/>
      <c r="C43" s="36"/>
      <c r="D43" s="60"/>
      <c r="E43" s="38"/>
      <c r="F43" s="1"/>
      <c r="G43" s="34"/>
      <c r="H43" s="62"/>
      <c r="I43" s="1"/>
      <c r="J43" s="1"/>
      <c r="K43" s="1"/>
      <c r="L43" s="3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</row>
    <row r="44" ht="12.75" customHeight="1">
      <c r="A44" s="61"/>
      <c r="B44" s="35"/>
      <c r="C44" s="36"/>
      <c r="D44" s="60"/>
      <c r="E44" s="38"/>
      <c r="F44" s="1"/>
      <c r="G44" s="34"/>
      <c r="H44" s="62"/>
      <c r="I44" s="1"/>
      <c r="J44" s="1"/>
      <c r="K44" s="1"/>
      <c r="L44" s="3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ht="12.75" customHeight="1">
      <c r="A45" s="61"/>
      <c r="B45" s="35"/>
      <c r="C45" s="36"/>
      <c r="D45" s="60"/>
      <c r="E45" s="38"/>
      <c r="F45" s="1"/>
      <c r="G45" s="34"/>
      <c r="H45" s="62"/>
      <c r="I45" s="1"/>
      <c r="J45" s="1"/>
      <c r="K45" s="1"/>
      <c r="L45" s="3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</row>
    <row r="46" ht="12.75" customHeight="1">
      <c r="A46" s="34"/>
      <c r="B46" s="35"/>
      <c r="C46" s="36"/>
      <c r="D46" s="60"/>
      <c r="E46" s="38"/>
      <c r="F46" s="1"/>
      <c r="G46" s="34"/>
      <c r="H46" s="62"/>
      <c r="I46" s="1"/>
      <c r="J46" s="1"/>
      <c r="K46" s="1"/>
      <c r="L46" s="3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</row>
    <row r="47" ht="12.75" customHeight="1">
      <c r="A47" s="34"/>
      <c r="B47" s="35"/>
      <c r="C47" s="36"/>
      <c r="D47" s="60"/>
      <c r="E47" s="38"/>
      <c r="F47" s="1"/>
      <c r="G47" s="34"/>
      <c r="H47" s="62"/>
      <c r="I47" s="1"/>
      <c r="J47" s="1"/>
      <c r="K47" s="1"/>
      <c r="L47" s="3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</row>
    <row r="48" ht="12.75" customHeight="1">
      <c r="A48" s="34"/>
      <c r="B48" s="35"/>
      <c r="C48" s="36"/>
      <c r="D48" s="60"/>
      <c r="E48" s="38"/>
      <c r="F48" s="1"/>
      <c r="G48" s="34"/>
      <c r="H48" s="62"/>
      <c r="I48" s="1"/>
      <c r="J48" s="1"/>
      <c r="K48" s="1"/>
      <c r="L48" s="3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</row>
    <row r="49" ht="12.75" customHeight="1">
      <c r="A49" s="34"/>
      <c r="B49" s="35"/>
      <c r="C49" s="36"/>
      <c r="D49" s="60"/>
      <c r="E49" s="38"/>
      <c r="F49" s="1"/>
      <c r="G49" s="34"/>
      <c r="H49" s="62"/>
      <c r="I49" s="1"/>
      <c r="J49" s="1"/>
      <c r="K49" s="1"/>
      <c r="L49" s="3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</row>
    <row r="50" ht="12.75" customHeight="1">
      <c r="A50" s="34"/>
      <c r="B50" s="35"/>
      <c r="C50" s="36"/>
      <c r="D50" s="60"/>
      <c r="E50" s="38"/>
      <c r="F50" s="1"/>
      <c r="G50" s="34"/>
      <c r="H50" s="62"/>
      <c r="I50" s="1"/>
      <c r="J50" s="1"/>
      <c r="K50" s="1"/>
      <c r="L50" s="3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</row>
    <row r="51" ht="12.75" customHeight="1">
      <c r="A51" s="34"/>
      <c r="B51" s="35"/>
      <c r="C51" s="36"/>
      <c r="D51" s="60"/>
      <c r="E51" s="38"/>
      <c r="F51" s="1"/>
      <c r="G51" s="34"/>
      <c r="H51" s="62"/>
      <c r="I51" s="1"/>
      <c r="J51" s="1"/>
      <c r="K51" s="1"/>
      <c r="L51" s="3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ht="12.75" customHeight="1">
      <c r="A52" s="34"/>
      <c r="B52" s="35"/>
      <c r="C52" s="36"/>
      <c r="D52" s="60"/>
      <c r="E52" s="38"/>
      <c r="F52" s="43"/>
      <c r="G52" s="34"/>
      <c r="H52" s="62"/>
      <c r="I52" s="1"/>
      <c r="J52" s="1"/>
      <c r="K52" s="1"/>
      <c r="L52" s="3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  <row r="53" ht="12.75" customHeight="1">
      <c r="A53" s="34"/>
      <c r="B53" s="35"/>
      <c r="C53" s="36"/>
      <c r="D53" s="60"/>
      <c r="E53" s="38"/>
      <c r="F53" s="43"/>
      <c r="G53" s="34"/>
      <c r="H53" s="62"/>
      <c r="I53" s="1"/>
      <c r="J53" s="1"/>
      <c r="K53" s="1"/>
      <c r="L53" s="3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</row>
    <row r="54" ht="12.75" customHeight="1">
      <c r="A54" s="34"/>
      <c r="B54" s="35"/>
      <c r="C54" s="36"/>
      <c r="D54" s="60"/>
      <c r="E54" s="38"/>
      <c r="F54" s="43"/>
      <c r="G54" s="34"/>
      <c r="H54" s="62"/>
      <c r="I54" s="1"/>
      <c r="J54" s="1"/>
      <c r="K54" s="1"/>
      <c r="L54" s="3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</row>
    <row r="55" ht="12.0" customHeight="1">
      <c r="A55" s="34"/>
      <c r="B55" s="35"/>
      <c r="C55" s="36"/>
      <c r="D55" s="60"/>
      <c r="E55" s="38"/>
      <c r="F55" s="43"/>
      <c r="G55" s="34"/>
      <c r="H55" s="62"/>
      <c r="I55" s="1"/>
      <c r="J55" s="1"/>
      <c r="K55" s="1"/>
      <c r="L55" s="3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</row>
    <row r="56" ht="12.75" customHeight="1">
      <c r="A56" s="34"/>
      <c r="B56" s="35"/>
      <c r="C56" s="36"/>
      <c r="D56" s="60"/>
      <c r="E56" s="38"/>
      <c r="F56" s="43"/>
      <c r="G56" s="34"/>
      <c r="H56" s="62"/>
      <c r="I56" s="1"/>
      <c r="J56" s="1"/>
      <c r="K56" s="1"/>
      <c r="L56" s="3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</row>
    <row r="57" ht="12.75" customHeight="1">
      <c r="A57" s="34"/>
      <c r="B57" s="35"/>
      <c r="C57" s="36"/>
      <c r="D57" s="60"/>
      <c r="E57" s="38"/>
      <c r="F57" s="1"/>
      <c r="G57" s="34"/>
      <c r="H57" s="62"/>
      <c r="I57" s="1"/>
      <c r="J57" s="1"/>
      <c r="K57" s="1"/>
      <c r="L57" s="3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ht="12.75" customHeight="1">
      <c r="A58" s="34"/>
      <c r="B58" s="35"/>
      <c r="C58" s="36"/>
      <c r="D58" s="60"/>
      <c r="E58" s="38"/>
      <c r="F58" s="43"/>
      <c r="G58" s="34"/>
      <c r="H58" s="62"/>
      <c r="I58" s="1"/>
      <c r="J58" s="1"/>
      <c r="K58" s="1"/>
      <c r="L58" s="3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ht="12.75" customHeight="1">
      <c r="A59" s="34"/>
      <c r="B59" s="35"/>
      <c r="C59" s="36"/>
      <c r="D59" s="60"/>
      <c r="E59" s="38"/>
      <c r="F59" s="43"/>
      <c r="G59" s="34"/>
      <c r="H59" s="62"/>
      <c r="I59" s="1"/>
      <c r="J59" s="1"/>
      <c r="K59" s="1"/>
      <c r="L59" s="3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ht="12.75" customHeight="1">
      <c r="A60" s="34"/>
      <c r="B60" s="35"/>
      <c r="C60" s="36"/>
      <c r="D60" s="60"/>
      <c r="E60" s="38"/>
      <c r="F60" s="43"/>
      <c r="G60" s="34"/>
      <c r="H60" s="62"/>
      <c r="I60" s="1"/>
      <c r="J60" s="1"/>
      <c r="K60" s="1"/>
      <c r="L60" s="3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ht="12.75" customHeight="1">
      <c r="A61" s="34"/>
      <c r="B61" s="35"/>
      <c r="C61" s="36"/>
      <c r="D61" s="60"/>
      <c r="E61" s="38"/>
      <c r="F61" s="43"/>
      <c r="G61" s="34"/>
      <c r="H61" s="62"/>
      <c r="I61" s="1"/>
      <c r="J61" s="1"/>
      <c r="K61" s="1"/>
      <c r="L61" s="3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ht="12.75" customHeight="1">
      <c r="A62" s="34"/>
      <c r="B62" s="35"/>
      <c r="C62" s="36"/>
      <c r="D62" s="60"/>
      <c r="E62" s="38"/>
      <c r="F62" s="43"/>
      <c r="G62" s="34"/>
      <c r="H62" s="62"/>
      <c r="I62" s="1"/>
      <c r="J62" s="1"/>
      <c r="K62" s="1"/>
      <c r="L62" s="3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ht="12.75" customHeight="1">
      <c r="A63" s="34"/>
      <c r="B63" s="35"/>
      <c r="C63" s="36"/>
      <c r="D63" s="60"/>
      <c r="E63" s="38"/>
      <c r="F63" s="43"/>
      <c r="G63" s="34"/>
      <c r="H63" s="62"/>
      <c r="I63" s="1"/>
      <c r="J63" s="1"/>
      <c r="K63" s="1"/>
      <c r="L63" s="3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ht="12.75" customHeight="1">
      <c r="A64" s="34"/>
      <c r="B64" s="35"/>
      <c r="C64" s="36"/>
      <c r="D64" s="60"/>
      <c r="E64" s="38"/>
      <c r="F64" s="43"/>
      <c r="G64" s="34"/>
      <c r="H64" s="62"/>
      <c r="I64" s="1"/>
      <c r="J64" s="1"/>
      <c r="K64" s="1"/>
      <c r="L64" s="3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  <row r="65" ht="12.75" customHeight="1">
      <c r="A65" s="34"/>
      <c r="B65" s="35"/>
      <c r="C65" s="36"/>
      <c r="D65" s="60"/>
      <c r="E65" s="38"/>
      <c r="F65" s="1"/>
      <c r="G65" s="34"/>
      <c r="H65" s="62"/>
      <c r="I65" s="1"/>
      <c r="J65" s="1"/>
      <c r="K65" s="1"/>
      <c r="L65" s="3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</row>
    <row r="66" ht="12.75" customHeight="1">
      <c r="A66" s="34"/>
      <c r="B66" s="35"/>
      <c r="C66" s="36"/>
      <c r="D66" s="60"/>
      <c r="E66" s="38"/>
      <c r="F66" s="1"/>
      <c r="G66" s="34"/>
      <c r="H66" s="62"/>
      <c r="I66" s="1"/>
      <c r="J66" s="1"/>
      <c r="K66" s="1"/>
      <c r="L66" s="3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</row>
    <row r="67" ht="12.75" customHeight="1">
      <c r="A67" s="61"/>
      <c r="B67" s="35"/>
      <c r="C67" s="36"/>
      <c r="D67" s="60"/>
      <c r="E67" s="38"/>
      <c r="F67" s="43"/>
      <c r="G67" s="34"/>
      <c r="H67" s="62"/>
      <c r="I67" s="1"/>
      <c r="J67" s="1"/>
      <c r="K67" s="1"/>
      <c r="L67" s="3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</row>
    <row r="68" ht="12.75" customHeight="1">
      <c r="A68" s="61"/>
      <c r="B68" s="35"/>
      <c r="C68" s="36"/>
      <c r="D68" s="60"/>
      <c r="E68" s="38"/>
      <c r="F68" s="43"/>
      <c r="G68" s="34"/>
      <c r="H68" s="62"/>
      <c r="I68" s="1"/>
      <c r="J68" s="1"/>
      <c r="K68" s="1"/>
      <c r="L68" s="3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</row>
    <row r="69" ht="12.75" customHeight="1">
      <c r="A69" s="61"/>
      <c r="B69" s="35"/>
      <c r="C69" s="36"/>
      <c r="D69" s="60"/>
      <c r="E69" s="38"/>
      <c r="F69" s="1"/>
      <c r="G69" s="34"/>
      <c r="H69" s="62"/>
      <c r="I69" s="1"/>
      <c r="J69" s="1"/>
      <c r="K69" s="1"/>
      <c r="L69" s="3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</row>
    <row r="70" ht="12.75" customHeight="1">
      <c r="A70" s="61"/>
      <c r="B70" s="35"/>
      <c r="C70" s="36"/>
      <c r="D70" s="60"/>
      <c r="E70" s="38"/>
      <c r="F70" s="1"/>
      <c r="G70" s="34"/>
      <c r="H70" s="62"/>
      <c r="I70" s="1"/>
      <c r="J70" s="1"/>
      <c r="K70" s="1"/>
      <c r="L70" s="3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</row>
    <row r="71" ht="12.75" customHeight="1">
      <c r="A71" s="34"/>
      <c r="B71" s="35"/>
      <c r="C71" s="36"/>
      <c r="D71" s="60"/>
      <c r="E71" s="38"/>
      <c r="F71" s="1"/>
      <c r="G71" s="34"/>
      <c r="H71" s="62"/>
      <c r="I71" s="1"/>
      <c r="J71" s="1"/>
      <c r="K71" s="1"/>
      <c r="L71" s="3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</row>
    <row r="72" ht="12.75" customHeight="1">
      <c r="A72" s="34"/>
      <c r="B72" s="35"/>
      <c r="C72" s="36"/>
      <c r="D72" s="60"/>
      <c r="E72" s="38"/>
      <c r="F72" s="43"/>
      <c r="G72" s="34"/>
      <c r="H72" s="62"/>
      <c r="I72" s="1"/>
      <c r="J72" s="1"/>
      <c r="K72" s="1"/>
      <c r="L72" s="3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</row>
    <row r="73" ht="12.75" customHeight="1">
      <c r="A73" s="34"/>
      <c r="B73" s="35"/>
      <c r="C73" s="36"/>
      <c r="D73" s="60"/>
      <c r="E73" s="38"/>
      <c r="F73" s="43"/>
      <c r="G73" s="34"/>
      <c r="H73" s="62"/>
      <c r="I73" s="1"/>
      <c r="J73" s="1"/>
      <c r="K73" s="1"/>
      <c r="L73" s="3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</row>
    <row r="74" ht="12.75" customHeight="1">
      <c r="A74" s="34"/>
      <c r="B74" s="35"/>
      <c r="C74" s="36"/>
      <c r="D74" s="60"/>
      <c r="E74" s="38"/>
      <c r="F74" s="1"/>
      <c r="G74" s="34"/>
      <c r="H74" s="62"/>
      <c r="I74" s="1"/>
      <c r="J74" s="1"/>
      <c r="K74" s="1"/>
      <c r="L74" s="3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</row>
    <row r="75" ht="12.75" customHeight="1">
      <c r="A75" s="34"/>
      <c r="B75" s="35"/>
      <c r="C75" s="36"/>
      <c r="D75" s="60"/>
      <c r="E75" s="38"/>
      <c r="F75" s="1"/>
      <c r="G75" s="34"/>
      <c r="H75" s="38"/>
      <c r="I75" s="1"/>
      <c r="J75" s="1"/>
      <c r="K75" s="1"/>
      <c r="L75" s="3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</row>
    <row r="76" ht="12.75" customHeight="1">
      <c r="A76" s="34"/>
      <c r="B76" s="35"/>
      <c r="C76" s="36"/>
      <c r="D76" s="60"/>
      <c r="E76" s="38"/>
      <c r="F76" s="20"/>
      <c r="G76" s="1"/>
      <c r="H76" s="38"/>
      <c r="I76" s="1"/>
      <c r="J76" s="1"/>
      <c r="K76" s="1"/>
      <c r="L76" s="3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</row>
    <row r="77" ht="12.75" customHeight="1">
      <c r="A77" s="44"/>
      <c r="B77" s="1"/>
      <c r="C77" s="23"/>
      <c r="D77" s="9"/>
      <c r="E77" s="57"/>
      <c r="F77" s="44"/>
      <c r="G77" s="39"/>
      <c r="H77" s="3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ht="12.75" customHeight="1">
      <c r="A78" s="44"/>
      <c r="B78" s="1"/>
      <c r="C78" s="1"/>
      <c r="D78" s="2"/>
      <c r="E78" s="57"/>
      <c r="F78" s="1"/>
      <c r="G78" s="34"/>
      <c r="H78" s="6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</row>
    <row r="81" ht="12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</row>
    <row r="82" ht="12.75" customHeight="1">
      <c r="A82" s="58"/>
      <c r="B82" s="58"/>
      <c r="C82" s="58"/>
      <c r="D82" s="58"/>
      <c r="E82" s="58"/>
      <c r="F82" s="70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</row>
    <row r="83" ht="12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</row>
    <row r="85" ht="12.75" customHeight="1">
      <c r="A85" s="1"/>
      <c r="B85" s="1"/>
      <c r="C85" s="1"/>
      <c r="D85" s="2"/>
      <c r="E85" s="1"/>
      <c r="F85" s="1"/>
      <c r="G85" s="34"/>
      <c r="H85" s="6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</row>
    <row r="86" ht="12.75" customHeight="1">
      <c r="A86" s="1"/>
      <c r="B86" s="1"/>
      <c r="C86" s="1"/>
      <c r="D86" s="2"/>
      <c r="E86" s="1"/>
      <c r="F86" s="1"/>
      <c r="G86" s="34"/>
      <c r="H86" s="8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</row>
    <row r="87" ht="12.75" customHeight="1">
      <c r="A87" s="22"/>
      <c r="B87" s="22"/>
      <c r="C87" s="22"/>
      <c r="D87" s="68"/>
      <c r="E87" s="22"/>
      <c r="F87" s="1"/>
      <c r="G87" s="34"/>
      <c r="H87" s="8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</row>
    <row r="88" ht="12.75" customHeight="1">
      <c r="A88" s="22"/>
      <c r="B88" s="22"/>
      <c r="C88" s="22"/>
      <c r="D88" s="68"/>
      <c r="E88" s="22"/>
      <c r="F88" s="1"/>
      <c r="G88" s="34"/>
      <c r="H88" s="3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</row>
    <row r="89" ht="12.75" customHeight="1">
      <c r="A89" s="1"/>
      <c r="B89" s="83"/>
      <c r="C89" s="83"/>
      <c r="D89" s="84"/>
      <c r="E89" s="83"/>
      <c r="F89" s="1"/>
      <c r="G89" s="34"/>
      <c r="H89" s="3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</row>
    <row r="90" ht="12.75" customHeight="1">
      <c r="A90" s="1"/>
      <c r="B90" s="83"/>
      <c r="C90" s="1"/>
      <c r="D90" s="84"/>
      <c r="E90" s="83"/>
      <c r="F90" s="1"/>
      <c r="G90" s="34"/>
      <c r="H90" s="6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ht="12.75" customHeight="1">
      <c r="A91" s="1"/>
      <c r="B91" s="83"/>
      <c r="C91" s="83"/>
      <c r="D91" s="84"/>
      <c r="E91" s="8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</row>
    <row r="92" ht="12.75" customHeight="1">
      <c r="A92" s="1"/>
      <c r="B92" s="83"/>
      <c r="C92" s="83"/>
      <c r="D92" s="84"/>
      <c r="E92" s="8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ht="12.75" customHeight="1">
      <c r="A93" s="1"/>
      <c r="B93" s="83"/>
      <c r="C93" s="83"/>
      <c r="D93" s="84"/>
      <c r="E93" s="8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</row>
    <row r="94" ht="12.75" customHeight="1">
      <c r="A94" s="1"/>
      <c r="B94" s="83"/>
      <c r="C94" s="1"/>
      <c r="D94" s="84"/>
      <c r="E94" s="8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</row>
    <row r="95" ht="12.75" customHeight="1">
      <c r="A95" s="1"/>
      <c r="B95" s="83"/>
      <c r="C95" s="1"/>
      <c r="D95" s="84"/>
      <c r="E95" s="8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</row>
    <row r="96" ht="12.75" customHeight="1">
      <c r="A96" s="1"/>
      <c r="B96" s="83"/>
      <c r="C96" s="1"/>
      <c r="D96" s="84"/>
      <c r="E96" s="8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</row>
    <row r="97" ht="12.75" customHeight="1">
      <c r="A97" s="1"/>
      <c r="B97" s="83"/>
      <c r="C97" s="1"/>
      <c r="D97" s="84"/>
      <c r="E97" s="8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</row>
    <row r="99" ht="12.75" customHeight="1">
      <c r="A99" s="1"/>
      <c r="B99" s="1"/>
      <c r="C99" s="1"/>
      <c r="D99" s="2"/>
      <c r="E99" s="3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</row>
  </sheetData>
  <mergeCells count="2">
    <mergeCell ref="B7:E7"/>
    <mergeCell ref="H8:H9"/>
  </mergeCells>
  <conditionalFormatting sqref="E23">
    <cfRule type="cellIs" dxfId="1" priority="1" stopIfTrue="1" operator="lessThan">
      <formula>40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2009-02-02T21:34:39Z</dcterms:created>
  <dc:creator>Intel</dc:creator>
</cp:coreProperties>
</file>